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tables/table5.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tables/table6.xml" ContentType="application/vnd.openxmlformats-officedocument.spreadsheetml.table+xml"/>
  <Override PartName="/xl/comments7.xml" ContentType="application/vnd.openxmlformats-officedocument.spreadsheetml.comments+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SLLowry\Documents\_code\content-starter-pack\samples\"/>
    </mc:Choice>
  </mc:AlternateContent>
  <xr:revisionPtr revIDLastSave="0" documentId="13_ncr:1_{985C6A53-828D-450A-9DCC-78DE0BF1B3C2}" xr6:coauthVersionLast="47" xr6:coauthVersionMax="47" xr10:uidLastSave="{00000000-0000-0000-0000-000000000000}"/>
  <bookViews>
    <workbookView xWindow="-120" yWindow="6615" windowWidth="29040" windowHeight="16440" tabRatio="540" firstSheet="5" activeTab="12" xr2:uid="{00000000-000D-0000-FFFF-FFFF00000000}"/>
  </bookViews>
  <sheets>
    <sheet name="Gatherer_temp" sheetId="21" state="hidden" r:id="rId1"/>
    <sheet name="filenames" sheetId="75" state="hidden" r:id="rId2"/>
    <sheet name="Align_backup" sheetId="92" state="hidden" r:id="rId3"/>
    <sheet name="_NIIT_Sample" sheetId="99" state="hidden" r:id="rId4"/>
    <sheet name="Variables (2)" sheetId="108" state="hidden" r:id="rId5"/>
    <sheet name="Instructions" sheetId="118" r:id="rId6"/>
    <sheet name="Key Terms" sheetId="117" r:id="rId7"/>
    <sheet name="epic" sheetId="86" state="hidden" r:id="rId8"/>
    <sheet name="Course" sheetId="48" state="hidden" r:id="rId9"/>
    <sheet name="Project Info Tab" sheetId="120" r:id="rId10"/>
    <sheet name="Project Plan" sheetId="119" r:id="rId11"/>
    <sheet name="Template-Project Info Tab" sheetId="114" r:id="rId12"/>
    <sheet name="Template-Project Plan" sheetId="115" r:id="rId13"/>
    <sheet name="DATA" sheetId="116" r:id="rId14"/>
    <sheet name="Variables" sheetId="6" state="hidden" r:id="rId15"/>
    <sheet name="Helper" sheetId="8" state="hidden" r:id="rId16"/>
    <sheet name="Helper_new_Backup" sheetId="50" state="hidden" r:id="rId17"/>
  </sheets>
  <definedNames>
    <definedName name="_xlnm._FilterDatabase" localSheetId="13" hidden="1">DATA!$A$16:$F$16</definedName>
    <definedName name="Communication" localSheetId="2">Align_backup!$A$13</definedName>
    <definedName name="Communication" localSheetId="9">'Project Info Tab'!$B$16</definedName>
    <definedName name="Communication" localSheetId="11">'Template-Project Info Tab'!$B$16</definedName>
    <definedName name="Communication">#REF!</definedName>
    <definedName name="Course_Code" localSheetId="2">Align_backup!$B$1</definedName>
    <definedName name="Course_Code" localSheetId="9">'Project Info Tab'!$B$1</definedName>
    <definedName name="Course_Code" localSheetId="11">'Template-Project Info Tab'!$B$1</definedName>
    <definedName name="Course_Code">#REF!</definedName>
    <definedName name="Course_Description" localSheetId="2">Align_backup!$A$16</definedName>
    <definedName name="Course_Description" localSheetId="9">'Project Info Tab'!$A$41</definedName>
    <definedName name="Course_Description" localSheetId="11">'Template-Project Info Tab'!$A$33</definedName>
    <definedName name="Course_Description">#REF!</definedName>
    <definedName name="Course_Prereqs" localSheetId="2">Align_backup!#REF!</definedName>
    <definedName name="Course_Prereqs" localSheetId="9">'Project Info Tab'!#REF!</definedName>
    <definedName name="Course_Prereqs" localSheetId="11">'Template-Project Info Tab'!#REF!</definedName>
    <definedName name="Course_Prereqs">#REF!</definedName>
    <definedName name="Course_Title" localSheetId="2">Align_backup!$B$6</definedName>
    <definedName name="Course_Title" localSheetId="9">'Project Info Tab'!$B$8</definedName>
    <definedName name="Course_Title" localSheetId="11">'Template-Project Info Tab'!$B$8</definedName>
    <definedName name="Course_Title">#REF!</definedName>
    <definedName name="ExternalData_1" localSheetId="8" hidden="1">'Course'!$A$1:$D$17</definedName>
    <definedName name="ExternalData_1" localSheetId="7" hidden="1">epic!$A$1:$A$19</definedName>
    <definedName name="ExternalData_2" localSheetId="1" hidden="1">filenames!$A$1:$C$12</definedName>
    <definedName name="FilePath">#REF!</definedName>
    <definedName name="New_Content_Creation_Correct" localSheetId="2">Align_backup!$B$3</definedName>
    <definedName name="New_Content_Creation_Correct" localSheetId="9">'Project Info Tab'!$B$3</definedName>
    <definedName name="New_Content_Creation_Correct" localSheetId="11">'Template-Project Info Tab'!$B$3</definedName>
    <definedName name="New_Content_Creation_Correct">#REF!</definedName>
    <definedName name="New_or_Update" localSheetId="2">Align_backup!$B$2</definedName>
    <definedName name="New_or_Update" localSheetId="9">'Project Info Tab'!$B$2</definedName>
    <definedName name="New_or_Update" localSheetId="11">'Template-Project Info Tab'!$B$2</definedName>
    <definedName name="New_or_Update">#REF!</definedName>
    <definedName name="Path" localSheetId="2">Align_backup!$A$43</definedName>
    <definedName name="Path" localSheetId="9">'Project Info Tab'!$A$75</definedName>
    <definedName name="Path" localSheetId="11">'Template-Project Info Tab'!$A$61</definedName>
    <definedName name="Path">#REF!</definedName>
    <definedName name="Scope" localSheetId="2">Align_backup!$A$10</definedName>
    <definedName name="Scope" localSheetId="9">'Project Info Tab'!$A$15</definedName>
    <definedName name="Scope" localSheetId="11">'Template-Project Info Tab'!$A$15</definedName>
    <definedName name="Scope">#REF!</definedName>
    <definedName name="Start" localSheetId="2">Align_backup!$B$4</definedName>
    <definedName name="Start" localSheetId="9">'Project Info Tab'!$B$4</definedName>
    <definedName name="Start" localSheetId="11">'Template-Project Info Tab'!$B$4</definedName>
    <definedName name="Start">#REF!</definedName>
    <definedName name="target" localSheetId="2">Align_backup!$B$5</definedName>
    <definedName name="target" localSheetId="9">'Project Info Tab'!$B$5</definedName>
    <definedName name="target" localSheetId="11">'Template-Project Info Tab'!$B$5</definedName>
    <definedName name="target">#REF!</definedName>
    <definedName name="Target_Audience" localSheetId="2">Align_backup!#REF!</definedName>
    <definedName name="Target_Audience" localSheetId="9">'Project Info Tab'!#REF!</definedName>
    <definedName name="Target_Audience" localSheetId="11">'Template-Project Info Tab'!#REF!</definedName>
    <definedName name="Target_Audience">#REF!</definedName>
    <definedName name="tblFilePath">#REF!</definedName>
    <definedName name="Type" localSheetId="2">Align_backup!$B$2</definedName>
    <definedName name="Type" localSheetId="9">'Project Info Tab'!$B$2</definedName>
    <definedName name="Type" localSheetId="11">'Template-Project Info Tab'!$B$2</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119" l="1"/>
  <c r="A8" i="119"/>
  <c r="A9" i="119" s="1"/>
  <c r="A10" i="119" s="1"/>
  <c r="A11" i="119" s="1"/>
  <c r="A12" i="119" s="1"/>
  <c r="A13" i="119" s="1"/>
  <c r="A14" i="119" s="1"/>
  <c r="A15" i="119" s="1"/>
  <c r="A16" i="119" s="1"/>
  <c r="A17" i="119" s="1"/>
  <c r="A18" i="119" s="1"/>
  <c r="A19" i="119" s="1"/>
  <c r="A20" i="119" s="1"/>
  <c r="A21" i="119" s="1"/>
  <c r="A22" i="119" s="1"/>
  <c r="A23" i="119" s="1"/>
  <c r="A24" i="119" s="1"/>
  <c r="A25" i="119" s="1"/>
  <c r="A26" i="119" s="1"/>
  <c r="A4" i="115"/>
  <c r="A8" i="115"/>
  <c r="A9" i="115" s="1"/>
  <c r="A10" i="115" s="1"/>
  <c r="B1" i="115"/>
  <c r="A11" i="115" l="1"/>
  <c r="A12" i="115" s="1"/>
  <c r="A13" i="115" s="1"/>
  <c r="A14" i="115" s="1"/>
  <c r="A15" i="115" s="1"/>
  <c r="A16" i="115" s="1"/>
  <c r="A17" i="115" s="1"/>
  <c r="A18" i="115" s="1"/>
  <c r="A19" i="115" s="1"/>
  <c r="A20" i="115" s="1"/>
  <c r="A21" i="115" s="1"/>
  <c r="A22" i="115" s="1"/>
  <c r="A23" i="115" s="1"/>
  <c r="A24" i="115" s="1"/>
  <c r="A25" i="115" s="1"/>
  <c r="A26" i="115" s="1"/>
  <c r="Y6" i="6" l="1"/>
  <c r="X6" i="6"/>
  <c r="W6" i="6"/>
  <c r="U6" i="6" s="1"/>
  <c r="Y6" i="108"/>
  <c r="X6" i="108"/>
  <c r="W6" i="108"/>
  <c r="U6" i="108" s="1"/>
  <c r="A4" i="99" l="1"/>
  <c r="C1" i="99"/>
  <c r="L19" i="75"/>
  <c r="L8" i="75"/>
  <c r="L4" i="75"/>
  <c r="L2" i="75"/>
  <c r="L10" i="75"/>
  <c r="L5" i="75"/>
  <c r="L7" i="75"/>
  <c r="L3" i="75"/>
  <c r="L6" i="75"/>
  <c r="L9" i="75"/>
  <c r="L11" i="75"/>
  <c r="L12" i="75"/>
  <c r="L13" i="75"/>
  <c r="L14" i="75"/>
  <c r="L15" i="75"/>
  <c r="L16" i="75"/>
  <c r="L17" i="75"/>
  <c r="L18" i="75"/>
  <c r="K4" i="75"/>
  <c r="M4" i="75" s="1"/>
  <c r="K5" i="75"/>
  <c r="M5" i="75" s="1"/>
  <c r="K6" i="75"/>
  <c r="M6" i="75" s="1"/>
  <c r="K7" i="75"/>
  <c r="M7" i="75" s="1"/>
  <c r="K8" i="75"/>
  <c r="K9" i="75"/>
  <c r="M9" i="75" s="1"/>
  <c r="K10" i="75"/>
  <c r="M10" i="75" s="1"/>
  <c r="K11" i="75"/>
  <c r="M11" i="75" s="1"/>
  <c r="K12" i="75"/>
  <c r="M12" i="75" s="1"/>
  <c r="K13" i="75"/>
  <c r="M13" i="75" s="1"/>
  <c r="K14" i="75"/>
  <c r="M14" i="75" s="1"/>
  <c r="K15" i="75"/>
  <c r="M15" i="75" s="1"/>
  <c r="K16" i="75"/>
  <c r="M16" i="75" s="1"/>
  <c r="K17" i="75"/>
  <c r="M17" i="75" s="1"/>
  <c r="K18" i="75"/>
  <c r="M18" i="75" s="1"/>
  <c r="K3" i="75"/>
  <c r="K2" i="75"/>
  <c r="M2" i="75" s="1"/>
  <c r="J3" i="75"/>
  <c r="J4" i="75"/>
  <c r="J5" i="75"/>
  <c r="J6" i="75"/>
  <c r="J7" i="75"/>
  <c r="J8" i="75"/>
  <c r="J9" i="75"/>
  <c r="J10" i="75"/>
  <c r="J11" i="75"/>
  <c r="J12" i="75"/>
  <c r="J13" i="75"/>
  <c r="J14" i="75"/>
  <c r="J15" i="75"/>
  <c r="J16" i="75"/>
  <c r="J17" i="75"/>
  <c r="J18" i="75"/>
  <c r="J2" i="75"/>
  <c r="B2" i="50"/>
  <c r="A2" i="50" s="1"/>
  <c r="Y2" i="50"/>
  <c r="X2" i="50"/>
  <c r="W2" i="50"/>
  <c r="V2" i="50"/>
  <c r="U2" i="50"/>
  <c r="T2" i="50"/>
  <c r="S2" i="50"/>
  <c r="R2" i="50"/>
  <c r="Q2" i="50"/>
  <c r="P2" i="50"/>
  <c r="O2" i="50"/>
  <c r="N2" i="50"/>
  <c r="M2" i="50"/>
  <c r="L2" i="50"/>
  <c r="K2" i="50"/>
  <c r="J2" i="50"/>
  <c r="Q2" i="8"/>
  <c r="R2" i="8"/>
  <c r="S2" i="8"/>
  <c r="V2" i="8"/>
  <c r="J2" i="8"/>
  <c r="B2" i="8"/>
  <c r="A2" i="8" s="1"/>
  <c r="X2" i="8"/>
  <c r="W2" i="8"/>
  <c r="U2" i="8"/>
  <c r="Y2" i="8"/>
  <c r="T2" i="8"/>
  <c r="P2" i="8"/>
  <c r="O2" i="8"/>
  <c r="N2" i="8"/>
  <c r="M2" i="8"/>
  <c r="L2" i="8"/>
  <c r="K2" i="8"/>
  <c r="M3" i="75" l="1"/>
  <c r="M8" i="7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R. Langford</author>
  </authors>
  <commentList>
    <comment ref="A10" authorId="0" shapeId="0" xr:uid="{C0B963C7-E4FC-43A4-8508-9C0E776C8B35}">
      <text>
        <r>
          <rPr>
            <b/>
            <sz val="9"/>
            <color indexed="81"/>
            <rFont val="Tahoma"/>
            <family val="2"/>
          </rPr>
          <t>If new course: "WHAT will students be able to do at the end of the course?"
If updating course: "Any change to the expected course outcome?"</t>
        </r>
      </text>
    </comment>
    <comment ref="A13" authorId="0" shapeId="0" xr:uid="{DC0B814E-D21D-4F12-BE1A-F8EBF4C30C0D}">
      <text>
        <r>
          <rPr>
            <b/>
            <sz val="9"/>
            <color indexed="81"/>
            <rFont val="Tahoma"/>
            <family val="2"/>
          </rPr>
          <t>If new course: "WHAT will students be able to do at the end of the course?"
If updating course: "Any change to the expected course outcome?"</t>
        </r>
      </text>
    </comment>
    <comment ref="A16" authorId="0" shapeId="0" xr:uid="{B8BA8BB4-23D5-473F-B463-C6B11C894412}">
      <text>
        <r>
          <rPr>
            <b/>
            <sz val="9"/>
            <color indexed="81"/>
            <rFont val="Tahoma"/>
            <family val="2"/>
          </rPr>
          <t xml:space="preserve">Used for Instructor Led Training and E-Learning
"What will the students learn and the inteded audience"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R. Langford</author>
  </authors>
  <commentList>
    <comment ref="A13" authorId="0" shapeId="0" xr:uid="{BCD1B474-B34B-41BA-ABE5-74F764FBD6A5}">
      <text>
        <r>
          <rPr>
            <b/>
            <sz val="9"/>
            <color indexed="81"/>
            <rFont val="Tahoma"/>
            <family val="2"/>
          </rPr>
          <t>If new course: "WHAT will students be able to do at the end of the course?"
If updating course: "Any change to the expected course outcome?"</t>
        </r>
      </text>
    </comment>
    <comment ref="A16" authorId="0" shapeId="0" xr:uid="{8DF0B92E-B789-4242-950D-A96CFA0ABC77}">
      <text>
        <r>
          <rPr>
            <b/>
            <sz val="9"/>
            <color indexed="81"/>
            <rFont val="Tahoma"/>
            <family val="2"/>
          </rPr>
          <t xml:space="preserve">Used for Instructor Led Training and E-Learning
"What will the students learn and the inteded audience"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R. Langford</author>
    <author>Charlene Woodrow</author>
  </authors>
  <commentList>
    <comment ref="C1" authorId="0" shapeId="0" xr:uid="{BC6068BC-0C0B-4EBE-A2B2-C8532AC19172}">
      <text>
        <r>
          <rPr>
            <b/>
            <sz val="9"/>
            <color indexed="81"/>
            <rFont val="Tahoma"/>
            <family val="2"/>
          </rPr>
          <t>This is copied over from the "Align Your Project" tab.</t>
        </r>
      </text>
    </comment>
    <comment ref="A4" authorId="0" shapeId="0" xr:uid="{55801694-60DC-464C-A9FC-A7871BEE4EFA}">
      <text>
        <r>
          <rPr>
            <b/>
            <sz val="9"/>
            <color indexed="81"/>
            <rFont val="Tahoma"/>
            <family val="2"/>
          </rPr>
          <t>This is copied over from the "Align Your Project" tab.</t>
        </r>
        <r>
          <rPr>
            <sz val="9"/>
            <color indexed="81"/>
            <rFont val="Tahoma"/>
            <family val="2"/>
          </rPr>
          <t xml:space="preserve">
</t>
        </r>
      </text>
    </comment>
    <comment ref="D6" authorId="1" shapeId="0" xr:uid="{6AD1C93F-947E-4254-AD17-B401E5612498}">
      <text>
        <r>
          <rPr>
            <b/>
            <sz val="9"/>
            <color indexed="81"/>
            <rFont val="Tahoma"/>
            <family val="2"/>
          </rPr>
          <t>Think of what the student will be doing. For example, the student will be configuring... or troubleshooting...</t>
        </r>
      </text>
    </comment>
    <comment ref="G6" authorId="0" shapeId="0" xr:uid="{B8987652-AE49-409E-842A-6E291039C045}">
      <text>
        <r>
          <rPr>
            <b/>
            <sz val="9"/>
            <color indexed="81"/>
            <rFont val="Tahoma"/>
            <family val="2"/>
          </rPr>
          <t>Duration in Minutes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Aba Azeem</author>
    <author>Joseph R. Langford</author>
  </authors>
  <commentList>
    <comment ref="B1" authorId="0" shapeId="0" xr:uid="{A856884F-FC5F-43D7-9159-57A707606B7A}">
      <text>
        <r>
          <rPr>
            <sz val="11"/>
            <color theme="1"/>
            <rFont val="Calibri"/>
            <family val="2"/>
            <scheme val="minor"/>
          </rPr>
          <t>For new courses, create a descriptive working title.</t>
        </r>
      </text>
    </comment>
    <comment ref="B10" authorId="0" shapeId="0" xr:uid="{EC118B29-B8F7-45C6-9313-9FB0DA519F83}">
      <text>
        <r>
          <rPr>
            <b/>
            <sz val="9"/>
            <color indexed="81"/>
            <rFont val="Tahoma"/>
            <family val="2"/>
          </rPr>
          <t>Specify roles, experience levels, and regions targeted</t>
        </r>
        <r>
          <rPr>
            <sz val="9"/>
            <color indexed="81"/>
            <rFont val="Tahoma"/>
            <family val="2"/>
          </rPr>
          <t xml:space="preserve">
</t>
        </r>
      </text>
    </comment>
    <comment ref="B16" authorId="1" shapeId="0" xr:uid="{2636A09D-5198-4448-B047-2B6234BC76F9}">
      <text>
        <r>
          <rPr>
            <sz val="11"/>
            <color theme="1"/>
            <rFont val="Calibri"/>
            <family val="2"/>
            <scheme val="minor"/>
          </rPr>
          <t>Define how the training aligns with business goals.
If updating course: "Any change to the expected course outcome?"</t>
        </r>
      </text>
    </comment>
    <comment ref="A18" authorId="0" shapeId="0" xr:uid="{C72FAB78-9F37-43D7-B2F7-E4D3A8FEAD8C}">
      <text>
        <r>
          <rPr>
            <b/>
            <sz val="11"/>
            <color theme="1"/>
            <rFont val="Calibri"/>
            <family val="2"/>
            <scheme val="minor"/>
          </rPr>
          <t xml:space="preserve">Skills are the learned or innate abilities or competencies that enable someone to perform a task well. </t>
        </r>
        <r>
          <rPr>
            <sz val="11"/>
            <color theme="1"/>
            <rFont val="Calibri"/>
            <family val="2"/>
            <scheme val="minor"/>
          </rPr>
          <t xml:space="preserve">
</t>
        </r>
        <r>
          <rPr>
            <b/>
            <sz val="11"/>
            <color theme="1"/>
            <rFont val="Calibri"/>
            <family val="2"/>
            <scheme val="minor"/>
          </rPr>
          <t xml:space="preserve">Please clarify skills by combining a product/technology with an actionable task. </t>
        </r>
        <r>
          <rPr>
            <sz val="11"/>
            <color theme="1"/>
            <rFont val="Calibri"/>
            <family val="2"/>
            <scheme val="minor"/>
          </rPr>
          <t xml:space="preserve">
</t>
        </r>
        <r>
          <rPr>
            <i/>
            <sz val="11"/>
            <color theme="1"/>
            <rFont val="Calibri"/>
            <family val="2"/>
            <scheme val="minor"/>
          </rPr>
          <t>SMEs to refine and update skills during design phase.</t>
        </r>
      </text>
    </comment>
    <comment ref="A32" authorId="1" shapeId="0" xr:uid="{673D0044-E63A-4FD3-A76A-FC081FE9D59E}">
      <text>
        <r>
          <rPr>
            <sz val="11"/>
            <color theme="1"/>
            <rFont val="Calibri"/>
            <family val="2"/>
            <scheme val="minor"/>
          </rPr>
          <t>PM to start during Project Initiation, based on business impact and essential skills. This brief summary defines the training's core "why" and "what" for internal alignment.</t>
        </r>
      </text>
    </comment>
    <comment ref="A41" authorId="1" shapeId="0" xr:uid="{7CE533E8-AE5A-4005-92C6-E3963BB3623F}">
      <text>
        <r>
          <rPr>
            <sz val="11"/>
            <color theme="1"/>
            <rFont val="Calibri"/>
            <family val="2"/>
            <scheme val="minor"/>
          </rPr>
          <t xml:space="preserve">SME to develop/refine after the course's formal learning outcomes, objectives, and structure are designed. This comprehensive description is for external audiences like learners and their managers.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R. Langford</author>
    <author>Aba Azeem</author>
    <author>Charlene Woodrow</author>
  </authors>
  <commentList>
    <comment ref="A4" authorId="0" shapeId="0" xr:uid="{10C31A28-FF99-48BB-98FD-FF54BCF0F2A0}">
      <text>
        <r>
          <rPr>
            <b/>
            <sz val="9"/>
            <color indexed="81"/>
            <rFont val="Tahoma"/>
            <family val="2"/>
          </rPr>
          <t>This is copied over from the "Course Info" tab.</t>
        </r>
        <r>
          <rPr>
            <sz val="9"/>
            <color indexed="81"/>
            <rFont val="Tahoma"/>
            <family val="2"/>
          </rPr>
          <t xml:space="preserve">
</t>
        </r>
      </text>
    </comment>
    <comment ref="B6" authorId="1" shapeId="0" xr:uid="{0C42E625-EC98-496B-9D43-CE8937D75D83}">
      <text>
        <r>
          <rPr>
            <b/>
            <sz val="9"/>
            <color indexed="81"/>
            <rFont val="Tahoma"/>
            <family val="2"/>
          </rPr>
          <t>Optional for PM to fill out for reference.
NOT to be completed by SMEs during design phase</t>
        </r>
        <r>
          <rPr>
            <sz val="9"/>
            <color indexed="81"/>
            <rFont val="Tahoma"/>
            <family val="2"/>
          </rPr>
          <t xml:space="preserve">
</t>
        </r>
      </text>
    </comment>
    <comment ref="C6" authorId="1" shapeId="0" xr:uid="{CB319B6C-0C17-4BB6-801C-F7E6C4FD84AD}">
      <text>
        <r>
          <rPr>
            <b/>
            <sz val="9"/>
            <color indexed="81"/>
            <rFont val="Tahoma"/>
            <family val="2"/>
          </rPr>
          <t>Select the skill from the predefined list in the Project Info tab. Ensure alignment with the course objectives and represents a combination of a product and an actionable capacity.
Skills must reflect what learners should be able to do with a specific product or process.</t>
        </r>
        <r>
          <rPr>
            <i/>
            <sz val="9"/>
            <color indexed="81"/>
            <rFont val="Tahoma"/>
            <family val="2"/>
          </rPr>
          <t xml:space="preserve"> 
Confirm that the skill supports the overall course goal and provides a foundation for measurable learning outcomes.</t>
        </r>
      </text>
    </comment>
    <comment ref="D6" authorId="1" shapeId="0" xr:uid="{78320ECB-695C-470B-9F0E-4AAAE5C912D8}">
      <text>
        <r>
          <rPr>
            <b/>
            <sz val="9"/>
            <color indexed="81"/>
            <rFont val="Tahoma"/>
            <family val="2"/>
          </rPr>
          <t xml:space="preserve">Define learning outcomes that clearly state what learners will be able to do by the end of the lesson.
Each outcome should include a measurable </t>
        </r>
        <r>
          <rPr>
            <b/>
            <u/>
            <sz val="9"/>
            <color indexed="81"/>
            <rFont val="Tahoma"/>
            <family val="2"/>
          </rPr>
          <t>behavior</t>
        </r>
        <r>
          <rPr>
            <b/>
            <sz val="9"/>
            <color indexed="81"/>
            <rFont val="Tahoma"/>
            <family val="2"/>
          </rPr>
          <t xml:space="preserve"> (action), a </t>
        </r>
        <r>
          <rPr>
            <b/>
            <u/>
            <sz val="9"/>
            <color indexed="81"/>
            <rFont val="Tahoma"/>
            <family val="2"/>
          </rPr>
          <t>condition</t>
        </r>
        <r>
          <rPr>
            <b/>
            <sz val="9"/>
            <color indexed="81"/>
            <rFont val="Tahoma"/>
            <family val="2"/>
          </rPr>
          <t xml:space="preserve"> (under what circumstance), and an optional </t>
        </r>
        <r>
          <rPr>
            <b/>
            <u/>
            <sz val="9"/>
            <color indexed="81"/>
            <rFont val="Tahoma"/>
            <family val="2"/>
          </rPr>
          <t>degree</t>
        </r>
        <r>
          <rPr>
            <b/>
            <sz val="9"/>
            <color indexed="81"/>
            <rFont val="Tahoma"/>
            <family val="2"/>
          </rPr>
          <t xml:space="preserve"> (standard of performance, if applicable). 
</t>
        </r>
        <r>
          <rPr>
            <i/>
            <sz val="9"/>
            <color indexed="81"/>
            <rFont val="Tahoma"/>
            <family val="2"/>
          </rPr>
          <t>For consistency, consider using formats such as:
"By the end of the lesson, participants will be able to [BEHAVIOR] using [CONDITION] to [x-DEGREE]"</t>
        </r>
        <r>
          <rPr>
            <sz val="9"/>
            <color indexed="81"/>
            <rFont val="Tahoma"/>
            <family val="2"/>
          </rPr>
          <t xml:space="preserve">
</t>
        </r>
        <r>
          <rPr>
            <b/>
            <sz val="9"/>
            <color indexed="81"/>
            <rFont val="Tahoma"/>
            <family val="2"/>
          </rPr>
          <t>Ensure the outcome is measurable and aligned with the skill listed.</t>
        </r>
      </text>
    </comment>
    <comment ref="E6" authorId="1" shapeId="0" xr:uid="{3CDB3389-3336-4D07-B24A-AC77361FF9CB}">
      <text>
        <r>
          <rPr>
            <b/>
            <sz val="9"/>
            <color indexed="81"/>
            <rFont val="Tahoma"/>
            <family val="2"/>
          </rPr>
          <t xml:space="preserve">Break the learning outcome into clear objectives, in the order that learners must follow to achieve the outcome.
</t>
        </r>
        <r>
          <rPr>
            <sz val="9"/>
            <color indexed="81"/>
            <rFont val="Tahoma"/>
            <family val="2"/>
          </rPr>
          <t xml:space="preserve">
Also referred to as </t>
        </r>
        <r>
          <rPr>
            <b/>
            <i/>
            <sz val="9"/>
            <color indexed="81"/>
            <rFont val="Tahoma"/>
            <family val="2"/>
          </rPr>
          <t>Steps to Accomplish Learning Outcome</t>
        </r>
        <r>
          <rPr>
            <sz val="9"/>
            <color indexed="81"/>
            <rFont val="Tahoma"/>
            <family val="2"/>
          </rPr>
          <t xml:space="preserve">
These steps should serve as a guide for structuring lesson content, ensuring logical progression and instructional alignment. Each step should build on the previous one to facilitate learning and retention. </t>
        </r>
      </text>
    </comment>
    <comment ref="F6" authorId="1" shapeId="0" xr:uid="{6C42CCAD-BF61-40FB-A9B9-B5FD9275DB7E}">
      <text>
        <r>
          <rPr>
            <b/>
            <sz val="9"/>
            <color indexed="81"/>
            <rFont val="Tahoma"/>
            <family val="2"/>
          </rPr>
          <t xml:space="preserve">Select the appropropriate assessment method from the dropdown list to evaluate whether the learning outcome has been achieved. 
</t>
        </r>
        <r>
          <rPr>
            <sz val="9"/>
            <color indexed="81"/>
            <rFont val="Tahoma"/>
            <family val="2"/>
          </rPr>
          <t xml:space="preserve">Ensure the chosen method aligns with the learning outcome and effectively measures learner success.
</t>
        </r>
        <r>
          <rPr>
            <i/>
            <sz val="8"/>
            <color indexed="81"/>
            <rFont val="Tahoma"/>
            <family val="2"/>
          </rPr>
          <t xml:space="preserve">See Data tab for assessment definitions. </t>
        </r>
      </text>
    </comment>
    <comment ref="G6" authorId="2" shapeId="0" xr:uid="{81E3BC4E-BFD1-43B5-A5D1-1BE6B2A65A72}">
      <text>
        <r>
          <rPr>
            <b/>
            <sz val="9"/>
            <color indexed="81"/>
            <rFont val="Tahoma"/>
            <family val="2"/>
          </rPr>
          <t xml:space="preserve">Provide a concise title summarizing the lesson content. 
</t>
        </r>
        <r>
          <rPr>
            <sz val="9"/>
            <color indexed="81"/>
            <rFont val="Tahoma"/>
            <family val="2"/>
          </rPr>
          <t>When creating lesson titles, be specific and use strong action verbs to clearly state the learning objective. Tailor the topic to your audience's needs, incorporate relevant keywords, and prioritize the most important concepts and skills to spark interest.</t>
        </r>
      </text>
    </comment>
    <comment ref="H6" authorId="1" shapeId="0" xr:uid="{3CDDCBDE-D47C-4405-9AF6-FE1EE28A294C}">
      <text>
        <r>
          <rPr>
            <b/>
            <sz val="9"/>
            <color indexed="81"/>
            <rFont val="Tahoma"/>
            <family val="2"/>
          </rPr>
          <t xml:space="preserve">Select to specificy if the lesson is Lecture or includes a demonstration.
</t>
        </r>
        <r>
          <rPr>
            <i/>
            <sz val="8"/>
            <color indexed="81"/>
            <rFont val="Tahoma"/>
            <family val="2"/>
          </rPr>
          <t xml:space="preserve">See Data tab for descriptions of the format types. </t>
        </r>
      </text>
    </comment>
    <comment ref="I6" authorId="1" shapeId="0" xr:uid="{DF6592EB-42B3-44E2-AD9D-4BB3F4309ECA}">
      <text>
        <r>
          <rPr>
            <b/>
            <sz val="9"/>
            <color indexed="81"/>
            <rFont val="Tahoma"/>
            <family val="2"/>
          </rPr>
          <t xml:space="preserve">Select the most suitable learning activity from the dropdown list that will engage learners and faclitate achieving the learner outcome. 
</t>
        </r>
        <r>
          <rPr>
            <i/>
            <sz val="8"/>
            <color indexed="81"/>
            <rFont val="Tahoma"/>
            <family val="2"/>
          </rPr>
          <t xml:space="preserve">See Data tab for activity definitions. </t>
        </r>
      </text>
    </comment>
    <comment ref="J6" authorId="1" shapeId="0" xr:uid="{9D80D6FC-02A1-494D-B08D-BE58DF83723D}">
      <text>
        <r>
          <rPr>
            <b/>
            <sz val="9"/>
            <color indexed="81"/>
            <rFont val="Tahoma"/>
            <family val="2"/>
          </rPr>
          <t>Enter the total estimated duration (in minutes) required to complete the lesson, ensuring sufficient time for instruction, activities/practice, and assessment.</t>
        </r>
        <r>
          <rPr>
            <sz val="9"/>
            <color indexed="81"/>
            <rFont val="Tahoma"/>
            <family val="2"/>
          </rPr>
          <t xml:space="preserve">
</t>
        </r>
        <r>
          <rPr>
            <i/>
            <sz val="8"/>
            <color indexed="81"/>
            <rFont val="Tahoma"/>
            <family val="2"/>
          </rPr>
          <t xml:space="preserve">See Data tab for estimated time for selected format, assessments, and learning activities.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Aba Azeem</author>
    <author>Joseph R. Langford</author>
  </authors>
  <commentList>
    <comment ref="B1" authorId="0" shapeId="0" xr:uid="{7F3F9772-55F1-4D69-90C7-FED27A982CA5}">
      <text>
        <r>
          <rPr>
            <b/>
            <sz val="9"/>
            <color indexed="81"/>
            <rFont val="Tahoma"/>
            <family val="2"/>
          </rPr>
          <t>Enter the official Course Title as the project name.</t>
        </r>
      </text>
    </comment>
    <comment ref="B10" authorId="0" shapeId="0" xr:uid="{81D82EDE-8C96-4F0A-8B97-9627847DE387}">
      <text>
        <r>
          <rPr>
            <b/>
            <sz val="9"/>
            <color indexed="81"/>
            <rFont val="Tahoma"/>
            <family val="2"/>
          </rPr>
          <t>Specify roles, experience levels, and regions targeted</t>
        </r>
        <r>
          <rPr>
            <sz val="9"/>
            <color indexed="81"/>
            <rFont val="Tahoma"/>
            <family val="2"/>
          </rPr>
          <t xml:space="preserve">
</t>
        </r>
      </text>
    </comment>
    <comment ref="B16" authorId="1" shapeId="0" xr:uid="{16A16452-27C3-4F90-B6D4-AF7B5A10B4FC}">
      <text>
        <r>
          <rPr>
            <sz val="11"/>
            <color theme="1"/>
            <rFont val="Calibri"/>
            <family val="2"/>
            <scheme val="minor"/>
          </rPr>
          <t>Define how the training aligns with business goals.
If updating course: "Any change to the expected course outcome?"</t>
        </r>
      </text>
    </comment>
    <comment ref="A18" authorId="0" shapeId="0" xr:uid="{CF0C404D-AB01-4F9D-813E-3C20E19726DB}">
      <text>
        <r>
          <rPr>
            <sz val="11"/>
            <color theme="1"/>
            <rFont val="Calibri"/>
            <family val="2"/>
            <scheme val="minor"/>
          </rPr>
          <t xml:space="preserve">There should be two main components for the skill: (Product + Action)
SMEs to refine and update skills during design phase.
The list provided are examples.  </t>
        </r>
      </text>
    </comment>
    <comment ref="A33" authorId="1" shapeId="0" xr:uid="{136DC9CA-E2ED-4422-9DD5-D5D78A10D1AB}">
      <text>
        <r>
          <rPr>
            <b/>
            <sz val="9"/>
            <color indexed="81"/>
            <rFont val="Tahoma"/>
            <family val="2"/>
          </rPr>
          <t xml:space="preserve">Used for Instructor Led Training and E-Learning
"What will the students learn and the inteded audience"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Joseph R. Langford</author>
    <author>Aba Azeem</author>
    <author>Charlene Woodrow</author>
  </authors>
  <commentList>
    <comment ref="A4" authorId="0" shapeId="0" xr:uid="{AA7E5011-1866-4E0B-9362-F6D356443056}">
      <text>
        <r>
          <rPr>
            <b/>
            <sz val="9"/>
            <color indexed="81"/>
            <rFont val="Tahoma"/>
            <family val="2"/>
          </rPr>
          <t>This is copied over from the "Course Info" tab.</t>
        </r>
        <r>
          <rPr>
            <sz val="9"/>
            <color indexed="81"/>
            <rFont val="Tahoma"/>
            <family val="2"/>
          </rPr>
          <t xml:space="preserve">
</t>
        </r>
      </text>
    </comment>
    <comment ref="B6" authorId="1" shapeId="0" xr:uid="{1B7FD722-5ADF-4BAC-9260-C5A296DABD04}">
      <text>
        <r>
          <rPr>
            <b/>
            <sz val="9"/>
            <color indexed="81"/>
            <rFont val="Tahoma"/>
            <family val="2"/>
          </rPr>
          <t>Optional for PM to fill out for reference.
NOT to be completed by SMEs during design phase</t>
        </r>
        <r>
          <rPr>
            <sz val="9"/>
            <color indexed="81"/>
            <rFont val="Tahoma"/>
            <family val="2"/>
          </rPr>
          <t xml:space="preserve">
</t>
        </r>
      </text>
    </comment>
    <comment ref="C6" authorId="1" shapeId="0" xr:uid="{B28A470E-2D0F-4B0F-93ED-8C495B9C05F0}">
      <text>
        <r>
          <rPr>
            <b/>
            <sz val="9"/>
            <color indexed="81"/>
            <rFont val="Tahoma"/>
            <family val="2"/>
          </rPr>
          <t xml:space="preserve">Select the skill from the predefined list based on the Course Skills identified in the Project Info tab.
</t>
        </r>
        <r>
          <rPr>
            <i/>
            <sz val="9"/>
            <color indexed="81"/>
            <rFont val="Tahoma"/>
            <family val="2"/>
          </rPr>
          <t>Ensure alignment with the course objectives and refine the skill list if necessary to better fit the lesson's focus and desired learning outcomes.</t>
        </r>
      </text>
    </comment>
    <comment ref="D6" authorId="2" shapeId="0" xr:uid="{20426C65-B800-4F99-AD3F-2D063E7C4E24}">
      <text>
        <r>
          <rPr>
            <b/>
            <sz val="9"/>
            <color indexed="81"/>
            <rFont val="Tahoma"/>
            <family val="2"/>
          </rPr>
          <t xml:space="preserve">Provide a concise title summarizing the lesson content. 
</t>
        </r>
        <r>
          <rPr>
            <sz val="9"/>
            <color indexed="81"/>
            <rFont val="Tahoma"/>
            <family val="2"/>
          </rPr>
          <t>When creating lesson titles, be specific and use strong action verbs to clearly state the learning objective. Tailor the topic to your audience's needs, incorporate relevant keywords, and prioritize the most important concepts and skills to spark interest.</t>
        </r>
      </text>
    </comment>
    <comment ref="E6" authorId="1" shapeId="0" xr:uid="{E389D56E-F734-43C3-9688-197DF15B6455}">
      <text>
        <r>
          <rPr>
            <b/>
            <sz val="9"/>
            <color indexed="81"/>
            <rFont val="Tahoma"/>
            <family val="2"/>
          </rPr>
          <t xml:space="preserve">Select to specificy if the lesson is Lecture or includes a demonstration.
</t>
        </r>
        <r>
          <rPr>
            <i/>
            <sz val="8"/>
            <color indexed="81"/>
            <rFont val="Tahoma"/>
            <family val="2"/>
          </rPr>
          <t xml:space="preserve">See Data tab for descriptions of the format types. </t>
        </r>
      </text>
    </comment>
    <comment ref="F6" authorId="1" shapeId="0" xr:uid="{FEE2DA0F-C418-4175-83C9-B0387FE85DCB}">
      <text>
        <r>
          <rPr>
            <b/>
            <sz val="9"/>
            <color indexed="81"/>
            <rFont val="Tahoma"/>
            <family val="2"/>
          </rPr>
          <t xml:space="preserve">Define learning outcomes that clearly state what learners will be able to do by the end of the lesson.
Each outcome should include a measurable </t>
        </r>
        <r>
          <rPr>
            <b/>
            <u/>
            <sz val="9"/>
            <color indexed="81"/>
            <rFont val="Tahoma"/>
            <family val="2"/>
          </rPr>
          <t>behavior</t>
        </r>
        <r>
          <rPr>
            <b/>
            <sz val="9"/>
            <color indexed="81"/>
            <rFont val="Tahoma"/>
            <family val="2"/>
          </rPr>
          <t xml:space="preserve"> (action), a </t>
        </r>
        <r>
          <rPr>
            <b/>
            <u/>
            <sz val="9"/>
            <color indexed="81"/>
            <rFont val="Tahoma"/>
            <family val="2"/>
          </rPr>
          <t>condition</t>
        </r>
        <r>
          <rPr>
            <b/>
            <sz val="9"/>
            <color indexed="81"/>
            <rFont val="Tahoma"/>
            <family val="2"/>
          </rPr>
          <t xml:space="preserve"> (under what circumstance), and a </t>
        </r>
        <r>
          <rPr>
            <b/>
            <u/>
            <sz val="9"/>
            <color indexed="81"/>
            <rFont val="Tahoma"/>
            <family val="2"/>
          </rPr>
          <t>degree</t>
        </r>
        <r>
          <rPr>
            <b/>
            <sz val="9"/>
            <color indexed="81"/>
            <rFont val="Tahoma"/>
            <family val="2"/>
          </rPr>
          <t xml:space="preserve"> (standard of performance, if applicable). 
</t>
        </r>
        <r>
          <rPr>
            <i/>
            <sz val="9"/>
            <color indexed="81"/>
            <rFont val="Tahoma"/>
            <family val="2"/>
          </rPr>
          <t>For consistency, consider using formats such as:
"By the end of the lesson, participants will be able to [BEHAVIOR] using [CONDITION] available in [DEGREE]"</t>
        </r>
        <r>
          <rPr>
            <sz val="9"/>
            <color indexed="81"/>
            <rFont val="Tahoma"/>
            <family val="2"/>
          </rPr>
          <t xml:space="preserve">
</t>
        </r>
        <r>
          <rPr>
            <b/>
            <sz val="9"/>
            <color indexed="81"/>
            <rFont val="Tahoma"/>
            <family val="2"/>
          </rPr>
          <t>Ensure the outcome is measurable and aligned with the skill listed.</t>
        </r>
      </text>
    </comment>
    <comment ref="G6" authorId="1" shapeId="0" xr:uid="{DF3F81EF-1B40-4AB7-BAE1-3E43167C9551}">
      <text>
        <r>
          <rPr>
            <b/>
            <sz val="9"/>
            <color indexed="81"/>
            <rFont val="Tahoma"/>
            <family val="2"/>
          </rPr>
          <t xml:space="preserve">Break the learning outcome into clear objectives, in the order that learners must follow to achieve the outcome.
</t>
        </r>
        <r>
          <rPr>
            <sz val="9"/>
            <color indexed="81"/>
            <rFont val="Tahoma"/>
            <family val="2"/>
          </rPr>
          <t xml:space="preserve">
These steps should serve as a guide for structuring lesson content, ensuring logical progression and instructional alignment. Each step should build on the previous one to facilitate learning and retention. </t>
        </r>
      </text>
    </comment>
    <comment ref="H6" authorId="1" shapeId="0" xr:uid="{B83EEDE9-31E8-4AF4-AFAB-F9FE5448770E}">
      <text>
        <r>
          <rPr>
            <b/>
            <sz val="9"/>
            <color indexed="81"/>
            <rFont val="Tahoma"/>
            <family val="2"/>
          </rPr>
          <t xml:space="preserve">Select the appropropriate assessment method from the dropdown list to evaluate whether the learning outcome has been achieved. 
</t>
        </r>
        <r>
          <rPr>
            <sz val="9"/>
            <color indexed="81"/>
            <rFont val="Tahoma"/>
            <family val="2"/>
          </rPr>
          <t xml:space="preserve">Ensure the chosen method aligns with the learning outcome and effectively measures learner success.
</t>
        </r>
        <r>
          <rPr>
            <i/>
            <sz val="8"/>
            <color indexed="81"/>
            <rFont val="Tahoma"/>
            <family val="2"/>
          </rPr>
          <t xml:space="preserve">See Data tab for assessment definitions. </t>
        </r>
      </text>
    </comment>
    <comment ref="I6" authorId="1" shapeId="0" xr:uid="{7C9167E7-6963-4980-85A1-9088AFB8A60F}">
      <text>
        <r>
          <rPr>
            <b/>
            <sz val="9"/>
            <color indexed="81"/>
            <rFont val="Tahoma"/>
            <family val="2"/>
          </rPr>
          <t xml:space="preserve">Select the most suitable learning activity from the dropdown list that will engage learners and faclitate achieving the learner outcome. 
</t>
        </r>
        <r>
          <rPr>
            <i/>
            <sz val="8"/>
            <color indexed="81"/>
            <rFont val="Tahoma"/>
            <family val="2"/>
          </rPr>
          <t xml:space="preserve">See Data tab for activity definitions. </t>
        </r>
      </text>
    </comment>
    <comment ref="J6" authorId="1" shapeId="0" xr:uid="{B1943FCB-A8E1-41DE-9625-5DD4F9D24FF5}">
      <text>
        <r>
          <rPr>
            <b/>
            <sz val="9"/>
            <color indexed="81"/>
            <rFont val="Tahoma"/>
            <family val="2"/>
          </rPr>
          <t>Enter the total estimated duration (in minutes) required to complete the lesson, ensuring sufficient time for instruction, activities/practice, and assessment.</t>
        </r>
        <r>
          <rPr>
            <sz val="9"/>
            <color indexed="81"/>
            <rFont val="Tahoma"/>
            <family val="2"/>
          </rPr>
          <t xml:space="preserve">
</t>
        </r>
        <r>
          <rPr>
            <i/>
            <sz val="8"/>
            <color indexed="81"/>
            <rFont val="Tahoma"/>
            <family val="2"/>
          </rPr>
          <t xml:space="preserve">See Data tab for estimated time for selected format, assessments, and learning activities.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FB2D93-E7F3-41F4-AA28-5983DF96D2B6}" keepAlive="1" name="Connection" type="5" refreshedVersion="0" saveData="1">
    <dbPr connection="Provider=Microsoft.Mashup.OleDb.1;Data Source=$Workbook$;Location=Epic;Extended Properties=&quot;&quot;" commandType="0"/>
  </connection>
  <connection id="2" xr16:uid="{82872227-008F-495F-9F14-EE61C43DA881}" keepAlive="1" name="Connection1" type="5" refreshedVersion="0" background="1">
    <dbPr connection="Provider=Microsoft.Mashup.OleDb.1;Data Source=$Workbook$;Location=Epic;Extended Properties=&quot;&quot;" commandType="0"/>
  </connection>
  <connection id="3" xr16:uid="{A24434FA-0B27-4BE8-8747-A257BEA2D26C}" keepAlive="1" name="Connection10" type="5" refreshedVersion="0" saveData="1">
    <dbPr connection="Provider=Microsoft.Mashup.OleDb.1;Data Source=$Workbook$;Location=Epic;Extended Properties=&quot;&quot;" commandType="0"/>
  </connection>
  <connection id="4" xr16:uid="{F0E03330-FA44-4161-A111-0980E63B67AB}" keepAlive="1" name="Connection2" type="5" refreshedVersion="0" saveData="1">
    <dbPr connection="Provider=Microsoft.Mashup.OleDb.1;Data Source=$Workbook$;Location=Epic;Extended Properties=&quot;&quot;" commandType="0"/>
  </connection>
  <connection id="5" xr16:uid="{897B62CF-94CD-48D7-9922-EB2F836A771E}" keepAlive="1" name="Connection3" type="5" refreshedVersion="0" saveData="1">
    <dbPr connection="Provider=Microsoft.Mashup.OleDb.1;Data Source=$Workbook$;Location=Epic;Extended Properties=&quot;&quot;" commandType="0"/>
  </connection>
  <connection id="6" xr16:uid="{2EDEC190-811E-4BE9-B1DE-0C46A49A1C28}" keepAlive="1" name="Connection4" type="5" refreshedVersion="0" saveData="1">
    <dbPr connection="Provider=Microsoft.Mashup.OleDb.1;Data Source=$Workbook$;Location=Epic;Extended Properties=&quot;&quot;" commandType="0"/>
  </connection>
  <connection id="7" xr16:uid="{00F0B648-7EC5-49FD-82AF-77D249137D93}" keepAlive="1" name="Connection5" type="5" refreshedVersion="0" saveData="1">
    <dbPr connection="Provider=Microsoft.Mashup.OleDb.1;Data Source=$Workbook$;Location=Epic;Extended Properties=&quot;&quot;" commandType="0"/>
  </connection>
  <connection id="8" xr16:uid="{E4CD7E83-5AF3-48E1-890A-D87CF18FE088}" keepAlive="1" name="Connection6" type="5" refreshedVersion="8" background="1" saveData="1">
    <dbPr connection="Provider=Microsoft.Mashup.OleDb.1;Data Source=$Workbook$;Location=Epic;Extended Properties=&quot;&quot;" command="SELECT * FROM [Epic]"/>
  </connection>
  <connection id="9" xr16:uid="{236CE0A9-FF6A-4294-BB92-6BFF019D5317}" keepAlive="1" name="Connection7" type="5" refreshedVersion="0" saveData="1">
    <dbPr connection="Provider=Microsoft.Mashup.OleDb.1;Data Source=$Workbook$;Location=Epic;Extended Properties=&quot;&quot;" commandType="0"/>
  </connection>
  <connection id="10" xr16:uid="{4671941F-2FB0-4561-AC7B-FD45D75F739A}" keepAlive="1" name="Connection8" type="5" refreshedVersion="0" saveData="1">
    <dbPr connection="Provider=Microsoft.Mashup.OleDb.1;Data Source=$Workbook$;Location=Epic;Extended Properties=&quot;&quot;" commandType="0"/>
  </connection>
  <connection id="11" xr16:uid="{436B39E1-065E-4702-AA0C-EAC69FB72936}" keepAlive="1" name="Connection9" type="5" refreshedVersion="0" saveData="1">
    <dbPr connection="Provider=Microsoft.Mashup.OleDb.1;Data Source=$Workbook$;Location=Epic;Extended Properties=&quot;&quot;" commandType="0"/>
  </connection>
  <connection id="12" xr16:uid="{0730A5FC-DF39-4F93-80CA-1C5252A1DECB}" keepAlive="1" name="Query - Course" description="Connection to the 'Course' query in the workbook." type="5" refreshedVersion="8" background="1" saveData="1">
    <dbPr connection="Provider=Microsoft.Mashup.OleDb.1;Data Source=$Workbook$;Location=Course;Extended Properties=&quot;&quot;" command="SELECT * FROM [Course]"/>
  </connection>
  <connection id="13" xr16:uid="{A4F08D4F-EC50-4875-A4DA-6F1CDE1CF3A4}" keepAlive="1" name="Query - Epic(1)" description="Connection to the 'Epic' query in the workbook." type="5" refreshedVersion="8" background="1" saveData="1">
    <dbPr connection="Provider=Microsoft.Mashup.OleDb.1;Data Source=$Workbook$;Location=Epic;Extended Properties=&quot;&quot;" command="SELECT * FROM [Epic]"/>
  </connection>
  <connection id="14" xr16:uid="{197BD62D-F94A-442C-9BB5-7EA6270402F2}" keepAlive="1" name="Query - Exporter_Main" description="Connection to the 'Exporter_Main' query in the workbook." type="5" refreshedVersion="8" background="1" saveData="1">
    <dbPr connection="Provider=Microsoft.Mashup.OleDb.1;Data Source=$Workbook$;Location=Exporter_Main;Extended Properties=&quot;&quot;" command="SELECT * FROM [Exporter_Main]"/>
  </connection>
  <connection id="15" xr16:uid="{3F851B8E-8861-46D1-B13E-46C93B8224DE}" keepAlive="1" name="Query - Exporter_Main (2)" description="Connection to the 'Exporter_Main (2)' query in the workbook." type="5" refreshedVersion="0" background="1" saveData="1">
    <dbPr connection="Provider=Microsoft.Mashup.OleDb.1;Data Source=$Workbook$;Location=&quot;Exporter_Main (2)&quot;;Extended Properties=&quot;&quot;" command="SELECT * FROM [Exporter_Main (2)]"/>
  </connection>
  <connection id="16" xr16:uid="{75097818-497B-4C71-B438-FAE4BE2EA109}" keepAlive="1" name="Query - filenames" description="Connection to the 'filenames' query in the workbook." type="5" refreshedVersion="8" background="1" saveData="1">
    <dbPr connection="Provider=Microsoft.Mashup.OleDb.1;Data Source=$Workbook$;Location=filenames;Extended Properties=&quot;&quot;" command="SELECT * FROM [filenames]"/>
  </connection>
</connections>
</file>

<file path=xl/sharedStrings.xml><?xml version="1.0" encoding="utf-8"?>
<sst xmlns="http://schemas.openxmlformats.org/spreadsheetml/2006/main" count="949" uniqueCount="534">
  <si>
    <t>Project Name</t>
  </si>
  <si>
    <t>Project Type</t>
  </si>
  <si>
    <t>New or Update</t>
  </si>
  <si>
    <t>Estimated Start Date</t>
  </si>
  <si>
    <t>Estimated Completion Date</t>
  </si>
  <si>
    <t>Technology Area</t>
  </si>
  <si>
    <t>Scope &amp; Course Outcomes</t>
  </si>
  <si>
    <t>Communication Plan</t>
  </si>
  <si>
    <t>Project Description</t>
  </si>
  <si>
    <t>Maps to2222 "Description"</t>
  </si>
  <si>
    <t>Roles</t>
  </si>
  <si>
    <t>Who</t>
  </si>
  <si>
    <t>Subject Matter Expert 1</t>
  </si>
  <si>
    <t>Subject Matter Expert 2</t>
  </si>
  <si>
    <t>Subject Matter Expert 3</t>
  </si>
  <si>
    <t>Project Manager</t>
  </si>
  <si>
    <t>e Learning Dev Team</t>
  </si>
  <si>
    <t>Technical Quality Reviewer 1</t>
  </si>
  <si>
    <t>Technical Quality Reviewer 2</t>
  </si>
  <si>
    <t>Editorial Quality Reviewer</t>
  </si>
  <si>
    <t>Authoring tool</t>
  </si>
  <si>
    <t>Title 1</t>
  </si>
  <si>
    <t>Title 2</t>
  </si>
  <si>
    <t>Title 3</t>
  </si>
  <si>
    <t>Copier1</t>
  </si>
  <si>
    <t>Copied2</t>
  </si>
  <si>
    <t>Copied3</t>
  </si>
  <si>
    <t>Modded1</t>
  </si>
  <si>
    <t>Modded2</t>
  </si>
  <si>
    <t>Modded3</t>
  </si>
  <si>
    <t>Modded4</t>
  </si>
  <si>
    <t>Test Course</t>
  </si>
  <si>
    <t/>
  </si>
  <si>
    <t>FactoryTalk Analytics DataView Fundamentals 3.03 (FTADV)</t>
  </si>
  <si>
    <t>Figure out how to use sheet</t>
  </si>
  <si>
    <t>Preparing for a FactoryTalk Analytics DataView Installation (PFI)</t>
  </si>
  <si>
    <t>fill out the blue</t>
  </si>
  <si>
    <t>1Understanding Minimum System Requirements</t>
  </si>
  <si>
    <t>press this button</t>
  </si>
  <si>
    <t>2Identifying Considerations for Deployment Architecture</t>
  </si>
  <si>
    <t>close sheet</t>
  </si>
  <si>
    <t>3Identifying Core System Components</t>
  </si>
  <si>
    <t>Close the sheet again</t>
  </si>
  <si>
    <t>4Assessment: Preparing for a FactoryTalk Analytics DataView Installation</t>
  </si>
  <si>
    <t>Figure out how buttons work</t>
  </si>
  <si>
    <t>Performing a FactoryTalk Analytics DataView Installation (INST)</t>
  </si>
  <si>
    <t>Fill out the blue</t>
  </si>
  <si>
    <t>5Reviewing the FactoryTalk Analytics DataView Deployment Architecture and Installation Packages</t>
  </si>
  <si>
    <t>Press this button</t>
  </si>
  <si>
    <t>Deploying FactoryTalk Analytics DataView in Standard Mode using Installer</t>
  </si>
  <si>
    <t>Applying Certificates for FactoryTalk Analytics  DataView</t>
  </si>
  <si>
    <t>Hit the blue button on the sheet</t>
  </si>
  <si>
    <t>Deploying FactoryTalk Info Service</t>
  </si>
  <si>
    <t>Verifying DataView Services and Installation</t>
  </si>
  <si>
    <t>Assessment: Performing an Advanced FactoryTalk Analytics DataView Installation</t>
  </si>
  <si>
    <t>Preparing for Installation</t>
  </si>
  <si>
    <t>Installing R Software</t>
  </si>
  <si>
    <t>Creating and Importing FactoryTalk Analytics DataView Users</t>
  </si>
  <si>
    <t>Verifying FactoryTalk Analytics DataView Services</t>
  </si>
  <si>
    <t>Maps to "Title 1"</t>
  </si>
  <si>
    <t>On Demand</t>
  </si>
  <si>
    <t>New Content Creation</t>
  </si>
  <si>
    <t>Test Area\Technology 1\Project 1</t>
  </si>
  <si>
    <t>&lt;div&gt;&lt;span style="display:inline !important;"&gt;Updating content for 3.03. Focusing on the standard (single box) installer instead of the advanced (distributed) installer. Making major adjustments to the installation and installation prep lessons. The rest should stay the same&lt;/span&gt;&lt;br&gt; &lt;/div&gt;&lt;div&gt; &lt;/div&gt;&lt;div&gt;&lt;br&gt; &lt;/div&gt;&lt;div&gt; &lt;/div&gt;</t>
  </si>
  <si>
    <t>RGalusz@rockwellautomation.com</t>
  </si>
  <si>
    <t>Joseph Reedy</t>
  </si>
  <si>
    <t>Symeon Rizos</t>
  </si>
  <si>
    <t>Peter Francis</t>
  </si>
  <si>
    <t>Rise</t>
  </si>
  <si>
    <t>Rick Gurin</t>
  </si>
  <si>
    <t>Development tool</t>
  </si>
  <si>
    <t>File Reference</t>
  </si>
  <si>
    <t>C:\Users\RGalusz\OneDrive - Rockwell Automation, Inc\General\Other\_csv_writer\Export for Roman_06232023.csv</t>
  </si>
  <si>
    <t>Course Title</t>
  </si>
  <si>
    <t>Course Description</t>
  </si>
  <si>
    <t>Lesson #</t>
  </si>
  <si>
    <t>Module ID</t>
  </si>
  <si>
    <t>Lesson Title</t>
  </si>
  <si>
    <t>Skill Name</t>
  </si>
  <si>
    <t>Format</t>
  </si>
  <si>
    <t>Skill Category</t>
  </si>
  <si>
    <t>Duration (min)</t>
  </si>
  <si>
    <t>RAU Development\Process Control</t>
  </si>
  <si>
    <t>Update Existing Content</t>
  </si>
  <si>
    <t>Code Bellow DO NOT TOUCH!</t>
  </si>
  <si>
    <t>(V)ILT</t>
  </si>
  <si>
    <t>Knowledge Topic</t>
  </si>
  <si>
    <t>RAU Development\Controllers and IO</t>
  </si>
  <si>
    <t>Baseline Info</t>
  </si>
  <si>
    <t>=IF(B2&lt;&gt;"";"Epic";IF(AND(E2="Divider";C2&lt;&gt;"");"Feature";IF(D2&lt;&gt;"";"Requirement ";"Error")))</t>
  </si>
  <si>
    <t>Hott Spot</t>
  </si>
  <si>
    <t>Knowledge Topic &amp; Guided Activity</t>
  </si>
  <si>
    <t>RAU Development\Digital Engineering</t>
  </si>
  <si>
    <t>Product Selection</t>
  </si>
  <si>
    <t>N/A</t>
  </si>
  <si>
    <t>=IF(G3="Divider";E3;"")</t>
  </si>
  <si>
    <t>Other</t>
  </si>
  <si>
    <t>Lecture / Lab</t>
  </si>
  <si>
    <t>RAU Development\Industrial Components - Sensors - Safety</t>
  </si>
  <si>
    <t>Design/Build/Configure</t>
  </si>
  <si>
    <t>=IF(G3="Divider";"";F3)</t>
  </si>
  <si>
    <t>Lesson Overview</t>
  </si>
  <si>
    <t>RAU Development\Information Software</t>
  </si>
  <si>
    <t>Install/Commission</t>
  </si>
  <si>
    <t>=IF(H3="Divider";"";H3)</t>
  </si>
  <si>
    <t xml:space="preserve">RAU Development\Networks and Cybersecurity </t>
  </si>
  <si>
    <t>Usage</t>
  </si>
  <si>
    <t>samplet row</t>
  </si>
  <si>
    <t>Overview</t>
  </si>
  <si>
    <t>RAU Development\Other</t>
  </si>
  <si>
    <t>Service/Troubleshoot</t>
  </si>
  <si>
    <t>=IF(E8="Divider";A7+1;A7)</t>
  </si>
  <si>
    <t>Skills in Action</t>
  </si>
  <si>
    <t>RAU Development\Power Control</t>
  </si>
  <si>
    <t>Sustain/Maintain</t>
  </si>
  <si>
    <t>RAU Development\Visualization</t>
  </si>
  <si>
    <t>Applications</t>
  </si>
  <si>
    <t>Minutes</t>
  </si>
  <si>
    <t>=IF(minutes_Helper!A1="Divider",D1,minutes_Helper!C1)</t>
  </si>
  <si>
    <t>=IF(AND(D1=0,E1=0),"Del","")</t>
  </si>
  <si>
    <t>=SUM(minutes_Helper!C2+minutes_Helper!C1)</t>
  </si>
  <si>
    <t>=IF(minutes_Helper!A2="divider",0,D2)</t>
  </si>
  <si>
    <t>=IF(minutes_Helper!A2="Divider",D2,minutes_Helper!C2)</t>
  </si>
  <si>
    <t>=IF([@Format]="Divider";[@[Skill Name]];"")</t>
  </si>
  <si>
    <t>Purpose</t>
  </si>
  <si>
    <t>This workbook is designed to guide project managers (PMs) and subject matter experts (SMEs) through the training content design process</t>
  </si>
  <si>
    <t>Step by Step Guidance</t>
  </si>
  <si>
    <r>
      <t xml:space="preserve">1. Before starting, select </t>
    </r>
    <r>
      <rPr>
        <b/>
        <sz val="11"/>
        <color rgb="FFC00000"/>
        <rFont val="Calibri"/>
        <family val="2"/>
        <scheme val="minor"/>
      </rPr>
      <t>File &gt; Save As</t>
    </r>
    <r>
      <rPr>
        <sz val="11"/>
        <color rgb="FFC00000"/>
        <rFont val="Calibri"/>
        <family val="2"/>
        <scheme val="minor"/>
      </rPr>
      <t xml:space="preserve"> and rename the file using the project name and fiscal year (e.g., </t>
    </r>
    <r>
      <rPr>
        <i/>
        <sz val="11"/>
        <color rgb="FFC00000"/>
        <rFont val="Calibri"/>
        <family val="2"/>
        <scheme val="minor"/>
      </rPr>
      <t>Smart Devices-FY25 CDD Workbook</t>
    </r>
    <r>
      <rPr>
        <sz val="11"/>
        <color rgb="FFC00000"/>
        <rFont val="Calibri"/>
        <family val="2"/>
        <scheme val="minor"/>
      </rPr>
      <t>)</t>
    </r>
  </si>
  <si>
    <t>2. Project Info tab: To be completed by PMs with course details, objectives, audience, etc.</t>
  </si>
  <si>
    <t>3. Project Plan: To be completed by SMEs with learning outcomes, learning objectives, learning activities, assessment methods, etc.</t>
  </si>
  <si>
    <t>4. Ensure all required fields are completed and reviewed before submission.</t>
  </si>
  <si>
    <t xml:space="preserve">Roles and Responsibilities </t>
  </si>
  <si>
    <t>PM: Complete Project Info
SME: Completes Project Plan
GTL: Reviews and assist SME</t>
  </si>
  <si>
    <t>Deadlines</t>
  </si>
  <si>
    <t xml:space="preserve">Ensure all sections are completed by the defined project deadlines. </t>
  </si>
  <si>
    <t>Color Coding Key</t>
  </si>
  <si>
    <r>
      <rPr>
        <b/>
        <sz val="11"/>
        <rFont val="Calibri"/>
        <family val="2"/>
        <scheme val="minor"/>
      </rPr>
      <t xml:space="preserve">Blue: </t>
    </r>
    <r>
      <rPr>
        <sz val="11"/>
        <color theme="1"/>
        <rFont val="Calibri"/>
        <family val="2"/>
        <scheme val="minor"/>
      </rPr>
      <t xml:space="preserve">PM responsibilities 
</t>
    </r>
  </si>
  <si>
    <r>
      <rPr>
        <b/>
        <sz val="11"/>
        <color theme="1"/>
        <rFont val="Calibri"/>
        <family val="2"/>
        <scheme val="minor"/>
      </rPr>
      <t xml:space="preserve">Green: </t>
    </r>
    <r>
      <rPr>
        <sz val="11"/>
        <color theme="1"/>
        <rFont val="Calibri"/>
        <family val="2"/>
        <scheme val="minor"/>
      </rPr>
      <t>SME responsibilities</t>
    </r>
  </si>
  <si>
    <r>
      <rPr>
        <b/>
        <sz val="11"/>
        <color theme="1"/>
        <rFont val="Calibri"/>
        <family val="2"/>
        <scheme val="minor"/>
      </rPr>
      <t xml:space="preserve">Dark Gray: </t>
    </r>
    <r>
      <rPr>
        <sz val="11"/>
        <color theme="1"/>
        <rFont val="Calibri"/>
        <family val="2"/>
        <scheme val="minor"/>
      </rPr>
      <t>Auto-populated fields (do not modify)</t>
    </r>
  </si>
  <si>
    <t>CDD Workbook Tabs</t>
  </si>
  <si>
    <r>
      <rPr>
        <b/>
        <sz val="11"/>
        <color theme="1"/>
        <rFont val="Calibri"/>
        <family val="2"/>
        <scheme val="minor"/>
      </rPr>
      <t xml:space="preserve">Instructions: </t>
    </r>
    <r>
      <rPr>
        <sz val="11"/>
        <color theme="1"/>
        <rFont val="Calibri"/>
        <family val="2"/>
        <scheme val="minor"/>
      </rPr>
      <t>First tab to guide the user and explain how to navigate the workbook</t>
    </r>
  </si>
  <si>
    <r>
      <rPr>
        <b/>
        <sz val="11"/>
        <color theme="1"/>
        <rFont val="Calibri"/>
        <family val="2"/>
        <scheme val="minor"/>
      </rPr>
      <t>Key Terms:</t>
    </r>
    <r>
      <rPr>
        <sz val="11"/>
        <color theme="1"/>
        <rFont val="Calibri"/>
        <family val="2"/>
        <scheme val="minor"/>
      </rPr>
      <t xml:space="preserve"> Help users understand terminology before they start inputting information</t>
    </r>
  </si>
  <si>
    <r>
      <rPr>
        <b/>
        <sz val="11"/>
        <color theme="1"/>
        <rFont val="Calibri"/>
        <family val="2"/>
        <scheme val="minor"/>
      </rPr>
      <t xml:space="preserve">Data: </t>
    </r>
    <r>
      <rPr>
        <sz val="11"/>
        <color theme="1"/>
        <rFont val="Calibri"/>
        <family val="2"/>
        <scheme val="minor"/>
      </rPr>
      <t>Serves as a behind-the-scenes reference for dropdowns</t>
    </r>
  </si>
  <si>
    <r>
      <rPr>
        <b/>
        <sz val="11"/>
        <color theme="1"/>
        <rFont val="Calibri"/>
        <family val="2"/>
        <scheme val="minor"/>
      </rPr>
      <t xml:space="preserve">Project Info </t>
    </r>
    <r>
      <rPr>
        <sz val="11"/>
        <color theme="1"/>
        <rFont val="Calibri"/>
        <family val="2"/>
        <scheme val="minor"/>
      </rPr>
      <t>(</t>
    </r>
    <r>
      <rPr>
        <i/>
        <sz val="11"/>
        <color theme="1"/>
        <rFont val="Calibri"/>
        <family val="2"/>
        <scheme val="minor"/>
      </rPr>
      <t>Blank</t>
    </r>
    <r>
      <rPr>
        <sz val="11"/>
        <color theme="1"/>
        <rFont val="Calibri"/>
        <family val="2"/>
        <scheme val="minor"/>
      </rPr>
      <t>)</t>
    </r>
    <r>
      <rPr>
        <b/>
        <sz val="11"/>
        <color theme="1"/>
        <rFont val="Calibri"/>
        <family val="2"/>
        <scheme val="minor"/>
      </rPr>
      <t>:</t>
    </r>
    <r>
      <rPr>
        <sz val="11"/>
        <color theme="1"/>
        <rFont val="Calibri"/>
        <family val="2"/>
        <scheme val="minor"/>
      </rPr>
      <t xml:space="preserve"> First tab the user will complete--captures high level course details, goals, and skills</t>
    </r>
  </si>
  <si>
    <r>
      <rPr>
        <b/>
        <sz val="11"/>
        <color theme="1"/>
        <rFont val="Calibri"/>
        <family val="2"/>
        <scheme val="minor"/>
      </rPr>
      <t xml:space="preserve">Project Plan </t>
    </r>
    <r>
      <rPr>
        <sz val="11"/>
        <color theme="1"/>
        <rFont val="Calibri"/>
        <family val="2"/>
        <scheme val="minor"/>
      </rPr>
      <t>(</t>
    </r>
    <r>
      <rPr>
        <i/>
        <sz val="11"/>
        <color theme="1"/>
        <rFont val="Calibri"/>
        <family val="2"/>
        <scheme val="minor"/>
      </rPr>
      <t>Blank</t>
    </r>
    <r>
      <rPr>
        <sz val="11"/>
        <color theme="1"/>
        <rFont val="Calibri"/>
        <family val="2"/>
        <scheme val="minor"/>
      </rPr>
      <t>)</t>
    </r>
    <r>
      <rPr>
        <b/>
        <sz val="11"/>
        <color theme="1"/>
        <rFont val="Calibri"/>
        <family val="2"/>
        <scheme val="minor"/>
      </rPr>
      <t>:</t>
    </r>
    <r>
      <rPr>
        <sz val="11"/>
        <color theme="1"/>
        <rFont val="Calibri"/>
        <family val="2"/>
        <scheme val="minor"/>
      </rPr>
      <t xml:space="preserve"> Second tab user will complete--maps out lesson design tied to outcomes and objectives</t>
    </r>
  </si>
  <si>
    <r>
      <rPr>
        <b/>
        <sz val="11"/>
        <color theme="1"/>
        <rFont val="Calibri"/>
        <family val="2"/>
        <scheme val="minor"/>
      </rPr>
      <t xml:space="preserve">Template-Project Info </t>
    </r>
    <r>
      <rPr>
        <sz val="11"/>
        <color theme="1"/>
        <rFont val="Calibri"/>
        <family val="2"/>
        <scheme val="minor"/>
      </rPr>
      <t>(</t>
    </r>
    <r>
      <rPr>
        <i/>
        <sz val="11"/>
        <color theme="1"/>
        <rFont val="Calibri"/>
        <family val="2"/>
        <scheme val="minor"/>
      </rPr>
      <t>Example</t>
    </r>
    <r>
      <rPr>
        <sz val="11"/>
        <color theme="1"/>
        <rFont val="Calibri"/>
        <family val="2"/>
        <scheme val="minor"/>
      </rPr>
      <t>)</t>
    </r>
    <r>
      <rPr>
        <b/>
        <sz val="11"/>
        <color theme="1"/>
        <rFont val="Calibri"/>
        <family val="2"/>
        <scheme val="minor"/>
      </rPr>
      <t>:</t>
    </r>
    <r>
      <rPr>
        <sz val="11"/>
        <color theme="1"/>
        <rFont val="Calibri"/>
        <family val="2"/>
        <scheme val="minor"/>
      </rPr>
      <t xml:space="preserve"> Shows how to fill out the blank Project Info tab using a sample course</t>
    </r>
  </si>
  <si>
    <r>
      <rPr>
        <b/>
        <sz val="11"/>
        <color theme="1"/>
        <rFont val="Calibri"/>
        <family val="2"/>
        <scheme val="minor"/>
      </rPr>
      <t>Template-Project Plan</t>
    </r>
    <r>
      <rPr>
        <sz val="11"/>
        <color theme="1"/>
        <rFont val="Calibri"/>
        <family val="2"/>
        <scheme val="minor"/>
      </rPr>
      <t xml:space="preserve"> (</t>
    </r>
    <r>
      <rPr>
        <i/>
        <sz val="11"/>
        <color theme="1"/>
        <rFont val="Calibri"/>
        <family val="2"/>
        <scheme val="minor"/>
      </rPr>
      <t>Example</t>
    </r>
    <r>
      <rPr>
        <sz val="11"/>
        <color theme="1"/>
        <rFont val="Calibri"/>
        <family val="2"/>
        <scheme val="minor"/>
      </rPr>
      <t>)</t>
    </r>
    <r>
      <rPr>
        <b/>
        <sz val="11"/>
        <color theme="1"/>
        <rFont val="Calibri"/>
        <family val="2"/>
        <scheme val="minor"/>
      </rPr>
      <t xml:space="preserve">: </t>
    </r>
    <r>
      <rPr>
        <sz val="11"/>
        <color theme="1"/>
        <rFont val="Calibri"/>
        <family val="2"/>
        <scheme val="minor"/>
      </rPr>
      <t>Demonstrates a completed lesson mapping based on the same example course</t>
    </r>
  </si>
  <si>
    <t>Example Entries</t>
  </si>
  <si>
    <t>Same completed project plan provided for guidance.</t>
  </si>
  <si>
    <t>Reference</t>
  </si>
  <si>
    <t>See Content Design Playbook for additional guidance.</t>
  </si>
  <si>
    <t>Contact Infrmation</t>
  </si>
  <si>
    <t>For support, contact the Project Manager or Global Training Lead at aba.azeem@rockwellautomation.com.</t>
  </si>
  <si>
    <t xml:space="preserve">Version </t>
  </si>
  <si>
    <t>Author</t>
  </si>
  <si>
    <t>Date</t>
  </si>
  <si>
    <t>Changes Made</t>
  </si>
  <si>
    <t>Aba Azeem</t>
  </si>
  <si>
    <t>Notes for instructions</t>
  </si>
  <si>
    <t>Instructions and alignment to RAU Development Terminology Updates</t>
  </si>
  <si>
    <t>Term</t>
  </si>
  <si>
    <t>Definition</t>
  </si>
  <si>
    <t>Focus</t>
  </si>
  <si>
    <t>Example</t>
  </si>
  <si>
    <t xml:space="preserve">Number </t>
  </si>
  <si>
    <t xml:space="preserve">Tied To </t>
  </si>
  <si>
    <t>Business Impact</t>
  </si>
  <si>
    <t>Goals that align the training program with the organization's strategic aims. Requester/Stakeholder is responsible for explaining the business impact of each request in intake and prioritization​
Does not need to be measurable or specific, but this should help RAU identify what skills the content needs to support</t>
  </si>
  <si>
    <t>Organizational needs and outcomes, such as improving performance, increasing efficiency, or meeting compliance requirements.</t>
  </si>
  <si>
    <t>"To reduce downtime in manufacturing processes by 20% through improved employee training."</t>
  </si>
  <si>
    <t>1-4</t>
  </si>
  <si>
    <t>These should align with the strategic goals of the organization and can influence the course and learning objectives.</t>
  </si>
  <si>
    <t>Course Objectives</t>
  </si>
  <si>
    <t>Broad goals that outline what the course aims to achieve. Focus on what the instructor will teach (content and knowledge). May use verbs like "introduce," "explain," "demonstrate," or "discuss."</t>
  </si>
  <si>
    <t>Overall purpose and direction of the course.</t>
  </si>
  <si>
    <t>"To provide comprehensive training on the operation and maintenance of Rockwell Automation systems."</t>
  </si>
  <si>
    <t>1-3</t>
  </si>
  <si>
    <t>These objectives guide the overall direction of the course and encompass multiple learning outcomes.</t>
  </si>
  <si>
    <t>A brief summary that outlines the main topics and goals of the course.</t>
  </si>
  <si>
    <t>Provides an overview of the course content and objectives.</t>
  </si>
  <si>
    <t>"This course covers the operation and maintenance of Rockwell Automation systems, focusing on troubleshooting and optimizing performance."</t>
  </si>
  <si>
    <t>1 per course</t>
  </si>
  <si>
    <t>Should align with business objectives and course objectives.</t>
  </si>
  <si>
    <t>Skill</t>
  </si>
  <si>
    <t xml:space="preserve">Defined by a prouct and an action. Skills are practical capabilities learners should gain through the training. </t>
  </si>
  <si>
    <t>Practical and actionable capabilities defined by product and job-realted actions.</t>
  </si>
  <si>
    <t>"Troubleshooting automation systems."</t>
  </si>
  <si>
    <t>5-10 per course</t>
  </si>
  <si>
    <t>Each skill should align with the course objectives and be reflected in the learning outcomes and activities.</t>
  </si>
  <si>
    <t>Learning Outcome</t>
  </si>
  <si>
    <t xml:space="preserve">Each skill should be supported by one or more learning outcomes. Outcomes state what learners will accomplish, include a measureable action, context, and performance standard. </t>
  </si>
  <si>
    <t>Measurable and specific achievements related to skills.</t>
  </si>
  <si>
    <t>"Learners will be able to identify and resolve common issues in automation systems."</t>
  </si>
  <si>
    <t>Each skill should have at least one corresponding learning outcome.</t>
  </si>
  <si>
    <t>These outcomes should be specific and measurable, and they should align with the skills and course objectives.</t>
  </si>
  <si>
    <t>Learning Objectives (or Steps to Achieve Learning Outcome)</t>
  </si>
  <si>
    <t xml:space="preserve">Discrete, stand alone tasks that support a learning outcome. Each objective should </t>
  </si>
  <si>
    <t>Breaking down learning outcomes into manageable tasks.</t>
  </si>
  <si>
    <t>"Understand the basic components of automation systems."</t>
  </si>
  <si>
    <t>3-5 per learning outcome</t>
  </si>
  <si>
    <t>These steps should be actionable tasks that lead to achieving the major learning outcome.</t>
  </si>
  <si>
    <t>Lesson Titles</t>
  </si>
  <si>
    <t>Names of individual lessons within a course.</t>
  </si>
  <si>
    <t>High-level description of the content covered in each lesson.</t>
  </si>
  <si>
    <t>"Introduction to Automation Systems."</t>
  </si>
  <si>
    <t>1 title per lesson</t>
  </si>
  <si>
    <t>Each lesson title should be influeced by the learning outcomes and steps to achieve the outcome.</t>
  </si>
  <si>
    <t>The structure or delivery method of the training content.</t>
  </si>
  <si>
    <t>How the content is presented to learners.</t>
  </si>
  <si>
    <t>"lecture, lab, demonstration, or workshop."</t>
  </si>
  <si>
    <t>Multiple formats can be used (e.g., lecture/lab, lecture/workshop, etc.)</t>
  </si>
  <si>
    <t>The format should be chosen based on learning outcome and the steps to achieve the learning outcome.</t>
  </si>
  <si>
    <t>Learning Activity</t>
  </si>
  <si>
    <t>Interactive tasks or exercises designed to engage learners and help them achieve the learning outcomes.</t>
  </si>
  <si>
    <t>Engaging learners in the learning process through practical application.</t>
  </si>
  <si>
    <t>"Simulations, case studies, group discussions, hands-on exercises, or role-playing."</t>
  </si>
  <si>
    <t>1-3 per step or outcome</t>
  </si>
  <si>
    <t>Activities should align with the lesson format and steps to achieve the learning outcome to engage learners in practical application.</t>
  </si>
  <si>
    <t>Method of Assessment</t>
  </si>
  <si>
    <t>Tools or techniques used to evaluate learners' understanding and mastery of the learning outcomes.</t>
  </si>
  <si>
    <t>Measuring learner achievement and progress.</t>
  </si>
  <si>
    <t>"Quizzes, tests, practical demonstrations, peer reviews, or project-based assessments."</t>
  </si>
  <si>
    <t>At least one per outcome</t>
  </si>
  <si>
    <t>Assessments should measure the achievement of each step towards the learning outcome.</t>
  </si>
  <si>
    <t>Scale Value &amp; Name</t>
  </si>
  <si>
    <t>Scale Description (Short)</t>
  </si>
  <si>
    <t>Scale Description (Long)</t>
  </si>
  <si>
    <t>1   Basic</t>
  </si>
  <si>
    <t>Minimal to no experience/knowledge</t>
  </si>
  <si>
    <t>Basic skill awareness, without formal training or application of the skill. </t>
  </si>
  <si>
    <t>2   Developing</t>
  </si>
  <si>
    <t>Limited experience</t>
  </si>
  <si>
    <t>Some experience and knowledge with limited formal or on-the-job training. Ability to perform tasks under supervision.      </t>
  </si>
  <si>
    <t>3   Proficient</t>
  </si>
  <si>
    <t>Practical application</t>
  </si>
  <si>
    <t>Moderate level of experience and knowledge with formal training. Works independently and demonstrates proficiency across range of situations.</t>
  </si>
  <si>
    <t>4   Advance</t>
  </si>
  <si>
    <t>Leadership</t>
  </si>
  <si>
    <t>Extensive experience in skill across wide range of situations. Evidence of skill solidly demonstrated with ability to lead and direct others on the activities of the skill.</t>
  </si>
  <si>
    <t>5   Expert</t>
  </si>
  <si>
    <t>Recognized authority</t>
  </si>
  <si>
    <t>Full competency supported by deep knowledge and broad range of experience in the skill. Recognized as a subject-matter-expert, often sought after for consultation.</t>
  </si>
  <si>
    <r>
      <t xml:space="preserve">Format: The overall structure or method of delivery for the lesson. The format outlines </t>
    </r>
    <r>
      <rPr>
        <b/>
        <i/>
        <u/>
        <sz val="14"/>
        <color theme="1"/>
        <rFont val="Calibri"/>
        <family val="2"/>
        <scheme val="minor"/>
      </rPr>
      <t>how</t>
    </r>
    <r>
      <rPr>
        <b/>
        <sz val="14"/>
        <color theme="1"/>
        <rFont val="Calibri"/>
        <family val="2"/>
        <scheme val="minor"/>
      </rPr>
      <t xml:space="preserve"> the content will be presented and engaged with by the participants.</t>
    </r>
  </si>
  <si>
    <t>Lesson Format</t>
  </si>
  <si>
    <t>Estimated Duration</t>
  </si>
  <si>
    <t xml:space="preserve">Lecture </t>
  </si>
  <si>
    <t>30-60 minutes</t>
  </si>
  <si>
    <t>Instructor-led presentation of information.</t>
  </si>
  <si>
    <t>To provide foundational knowledge and theoretical understanding of a topic.</t>
  </si>
  <si>
    <t>An instructor explaining the key concepts of FactoryTalk Design Hub.</t>
  </si>
  <si>
    <t>Lecture/Demonstration</t>
  </si>
  <si>
    <t>45-90 minutes</t>
  </si>
  <si>
    <t>A combination of a lecture with a practical demonstration of concepts or techniques.</t>
  </si>
  <si>
    <t>To enhance understanding by showing real-world applications of theoretical concepts.</t>
  </si>
  <si>
    <t>An instructor explaining the FactoryTalk Optix Studio environment and then demonstrating how to navigate through it.</t>
  </si>
  <si>
    <r>
      <t xml:space="preserve">Learning Activity: Specific tasks or exercises that participants will engage in during the lesson to apply and reinforce their learning. It is the </t>
    </r>
    <r>
      <rPr>
        <b/>
        <i/>
        <u/>
        <sz val="14"/>
        <color theme="1"/>
        <rFont val="Calibri"/>
        <family val="2"/>
        <scheme val="minor"/>
      </rPr>
      <t>what</t>
    </r>
    <r>
      <rPr>
        <b/>
        <sz val="14"/>
        <color theme="1"/>
        <rFont val="Calibri"/>
        <family val="2"/>
        <scheme val="minor"/>
      </rPr>
      <t xml:space="preserve"> of the lesson.</t>
    </r>
  </si>
  <si>
    <t>Case Study</t>
  </si>
  <si>
    <t>60-90 minutes</t>
  </si>
  <si>
    <t>Analysis of real-world scenarios to apply theoretical knowledge.</t>
  </si>
  <si>
    <t>To develop problem-solving skills and practical application.</t>
  </si>
  <si>
    <t>Analyzing a case study on data logging in FactoryTalk Optix.</t>
  </si>
  <si>
    <t>Demonstration</t>
  </si>
  <si>
    <t>Instructor shows how to apply concepts or techniques in practice.</t>
  </si>
  <si>
    <t>To enhance understanding by visualizing real-world applications.</t>
  </si>
  <si>
    <t>Demonstrating how to configure presentation engines.</t>
  </si>
  <si>
    <t>Setting up project communications in FactoryTalk Optix, with participants working in groups and discussing their approaches.</t>
  </si>
  <si>
    <t>Discussion</t>
  </si>
  <si>
    <t>15-30 minutes</t>
  </si>
  <si>
    <t>Participants share insights and discuss topics.</t>
  </si>
  <si>
    <t>To deepen understanding through peer interaction and feedback.</t>
  </si>
  <si>
    <t>Discussing findings after a guided navigation session.</t>
  </si>
  <si>
    <t>Exercise</t>
  </si>
  <si>
    <t>Short, focused tasks to practice specific skills.</t>
  </si>
  <si>
    <t>To reinforce learning through repetition and application.</t>
  </si>
  <si>
    <t>Importing and creating tags in a FactoryTalk Optix project.</t>
  </si>
  <si>
    <t>Group Work</t>
  </si>
  <si>
    <t>Participants work in small groups to complete tasks or solve problems.</t>
  </si>
  <si>
    <t>To encourage collaboration and peer learning.</t>
  </si>
  <si>
    <t>Group task to configure security settings in FactoryTalk Optix.</t>
  </si>
  <si>
    <t>Completing a set of problems to practice creating and importing tags in a FactoryTalk Optix project.</t>
  </si>
  <si>
    <t>Guided Navigation</t>
  </si>
  <si>
    <t>Instructor-led tour through software, highlighting key features and tools.</t>
  </si>
  <si>
    <t>To familiarize participants with the software environment.</t>
  </si>
  <si>
    <t>Navigating through FactoryTalk Optix Studio environment.</t>
  </si>
  <si>
    <t>Hands-On Practice</t>
  </si>
  <si>
    <t>Participants follow along on their own devices to apply what they’ve learned.</t>
  </si>
  <si>
    <t>To reinforce learning through practical application.</t>
  </si>
  <si>
    <t>Practicing navigation in FactoryTalk Optix Studio.</t>
  </si>
  <si>
    <t>Homework Assignments</t>
  </si>
  <si>
    <t>Varies</t>
  </si>
  <si>
    <t>Tasks assigned to be completed outside of class time.</t>
  </si>
  <si>
    <t>To reinforce learning and practice skills independently.</t>
  </si>
  <si>
    <t>Completing a project setup as homework.</t>
  </si>
  <si>
    <t>Interactive Q&amp;A</t>
  </si>
  <si>
    <t>A session where participants ask questions and receive real-time answers.</t>
  </si>
  <si>
    <t>To clarify doubts and deepen understanding through direct interaction.</t>
  </si>
  <si>
    <t>Q&amp;A session after a lecture on FactoryTalk Design Hub.</t>
  </si>
  <si>
    <t>Interactive/Hands-on Lab</t>
  </si>
  <si>
    <t>60-120 minutes</t>
  </si>
  <si>
    <t>Structured, hands-on session with detailed instructions and supervision.</t>
  </si>
  <si>
    <t>To apply theoretical knowledge in a practical setting.</t>
  </si>
  <si>
    <t>Configuring data loggers and creating data grids.</t>
  </si>
  <si>
    <t>Presentations</t>
  </si>
  <si>
    <t>Participants present their work or findings to the group.</t>
  </si>
  <si>
    <t>To develop communication skills and share knowledge.</t>
  </si>
  <si>
    <t>Presenting a completed FactoryTalk Optix project.</t>
  </si>
  <si>
    <t>Role-Play</t>
  </si>
  <si>
    <t>Participants act out scenarios to practice skills in a simulated context.</t>
  </si>
  <si>
    <t>To develop practical skills and understanding through simulation.</t>
  </si>
  <si>
    <t>Role-playing troubleshooting scenarios with FactoryTalk Optix.</t>
  </si>
  <si>
    <t>Simulation</t>
  </si>
  <si>
    <t>Participants engage in simulated scenarios to practice skills.</t>
  </si>
  <si>
    <t>To develop practical skills in a risk-free environment.</t>
  </si>
  <si>
    <t>Simulating a project setup in FactoryTalk Optix.</t>
  </si>
  <si>
    <t>Step-by-Step Guide</t>
  </si>
  <si>
    <t>Detailed instructions to complete a project or task.</t>
  </si>
  <si>
    <t>To provide structured learning and ensure correct task completion.</t>
  </si>
  <si>
    <t>Creating a “Hello World” project in FactoryTalk Optix.</t>
  </si>
  <si>
    <t>Workshop</t>
  </si>
  <si>
    <t>2-4 hours</t>
  </si>
  <si>
    <t>Interactive session with hands-on activities and discussions.</t>
  </si>
  <si>
    <t>To explore topics in depth through practical application and peer learning.</t>
  </si>
  <si>
    <t>Setting up project communications in a guided workshop.</t>
  </si>
  <si>
    <r>
      <t xml:space="preserve">Method of Assessment: The </t>
    </r>
    <r>
      <rPr>
        <b/>
        <i/>
        <u/>
        <sz val="14"/>
        <color theme="1"/>
        <rFont val="Calibri"/>
        <family val="2"/>
        <scheme val="minor"/>
      </rPr>
      <t>measure</t>
    </r>
    <r>
      <rPr>
        <b/>
        <sz val="14"/>
        <color theme="1"/>
        <rFont val="Calibri"/>
        <family val="2"/>
        <scheme val="minor"/>
      </rPr>
      <t xml:space="preserve"> of effectiveness of the learning process and identifies areas for improvement.</t>
    </r>
  </si>
  <si>
    <t>Duration</t>
  </si>
  <si>
    <t>Quiz</t>
  </si>
  <si>
    <t>Participants answer questions to test their knowledge.</t>
  </si>
  <si>
    <t>To quickly assess understanding of the lesson content.</t>
  </si>
  <si>
    <t>Quiz on tag management concepts.</t>
  </si>
  <si>
    <t>Practical Task</t>
  </si>
  <si>
    <t>Specific tasks where students fix a problem or complete work, measured by pass/fail.</t>
  </si>
  <si>
    <t>To assess practical application of knowledge in a measurable way.</t>
  </si>
  <si>
    <t>Configuring communications in a FactoryTalk Optix project.</t>
  </si>
  <si>
    <t>To evaluate independent application of skills.</t>
  </si>
  <si>
    <t>To assess understanding and communication skills.</t>
  </si>
  <si>
    <t>Case Study Analysis</t>
  </si>
  <si>
    <t>Participants analyze real-world scenarios to apply theoretical knowledge.</t>
  </si>
  <si>
    <t>To evaluate problem-solving skills and practical application.</t>
  </si>
  <si>
    <t>Role-Play Evaluation</t>
  </si>
  <si>
    <t>Participants act out scenarios to practice skills, evaluated by criteria.</t>
  </si>
  <si>
    <t>To assess practical skills and understanding through simulation.</t>
  </si>
  <si>
    <t>Simulation Performance</t>
  </si>
  <si>
    <t>To evaluate practical skills in a controlled environment.</t>
  </si>
  <si>
    <t>Project Submission</t>
  </si>
  <si>
    <t>Participants submit completed projects for evaluation.</t>
  </si>
  <si>
    <t>To assess comprehensive understanding and application of skills.</t>
  </si>
  <si>
    <t>Submitting a completed FactoryTalk Optix project.</t>
  </si>
  <si>
    <t>Peer Review</t>
  </si>
  <si>
    <t>Participants review each other’s work and provide feedback.</t>
  </si>
  <si>
    <t>To assess understanding and provide constructive feedback.</t>
  </si>
  <si>
    <t>Reviewing peer’s project setup.</t>
  </si>
  <si>
    <t>Self-Assessment</t>
  </si>
  <si>
    <t>Participants evaluate their own work against set criteria.</t>
  </si>
  <si>
    <t>To encourage reflection and self-improvement.</t>
  </si>
  <si>
    <t>Self-assessment of a completed project.</t>
  </si>
  <si>
    <t>Column1</t>
  </si>
  <si>
    <t>3359</t>
  </si>
  <si>
    <t>Epic</t>
  </si>
  <si>
    <t>18.02.2022 00:00</t>
  </si>
  <si>
    <t>18.01.2022 00:00</t>
  </si>
  <si>
    <t>commncationplan</t>
  </si>
  <si>
    <t>Maps to "Communication Plan"</t>
  </si>
  <si>
    <t>Maps to "Description"</t>
  </si>
  <si>
    <t>Joseph Reedy &lt;jreedy@rockwellautomation.com&gt;</t>
  </si>
  <si>
    <t>Zhaohui Dong &lt;Zhaohui.Dong@rockwellautomation.com&gt;</t>
  </si>
  <si>
    <t>Symeon Rizos &lt;Symeon.Rizos@rockwellautomation.com&gt;</t>
  </si>
  <si>
    <t>Peter Francis &lt;PFranci@rockwellautomation.com&gt;</t>
  </si>
  <si>
    <t>Frederick G. Metz &lt;fgmetz@rockwellautomation.com&gt;</t>
  </si>
  <si>
    <t>Rick Gurin &lt;rgurin@rockwellautomation.com&gt;</t>
  </si>
  <si>
    <t>ID</t>
  </si>
  <si>
    <t>Module Type</t>
  </si>
  <si>
    <t>3370</t>
  </si>
  <si>
    <t>3371</t>
  </si>
  <si>
    <t>Understanding Minimum System Requirements</t>
  </si>
  <si>
    <t>3372</t>
  </si>
  <si>
    <t>Identifying Considerations for Deployment Architecture</t>
  </si>
  <si>
    <t>3373</t>
  </si>
  <si>
    <t>Identifying Core System Components</t>
  </si>
  <si>
    <t>3376</t>
  </si>
  <si>
    <t>Assessment: Preparing for a FactoryTalk Analytics DataView Installation</t>
  </si>
  <si>
    <t>Assessment</t>
  </si>
  <si>
    <t>3384</t>
  </si>
  <si>
    <t>3385</t>
  </si>
  <si>
    <t>Reviewing the FactoryTalk Analytics DataView Deployment Architecture and Installation Packages</t>
  </si>
  <si>
    <t>3387</t>
  </si>
  <si>
    <t>3395</t>
  </si>
  <si>
    <t>3396</t>
  </si>
  <si>
    <t>3398</t>
  </si>
  <si>
    <t>3400</t>
  </si>
  <si>
    <t>3461</t>
  </si>
  <si>
    <t>3465</t>
  </si>
  <si>
    <t>3467</t>
  </si>
  <si>
    <t>3685</t>
  </si>
  <si>
    <t>Project Kick-Off Meeting Date</t>
  </si>
  <si>
    <t>Product</t>
  </si>
  <si>
    <t>Target Audience</t>
  </si>
  <si>
    <t>Audience Proficiency/Scale</t>
  </si>
  <si>
    <t>Skills (PM to start - SME to refine skills list)</t>
  </si>
  <si>
    <t>Initial Course Purpose &amp; Scope (Internal Working Summary):</t>
  </si>
  <si>
    <t>Final Course Description (External Communication Summary):</t>
  </si>
  <si>
    <t xml:space="preserve">Existing Resource Analysis </t>
  </si>
  <si>
    <t>Material Name/Description</t>
  </si>
  <si>
    <t>Content Type</t>
  </si>
  <si>
    <t>Location/Link</t>
  </si>
  <si>
    <t>Global Training Leaad</t>
  </si>
  <si>
    <t xml:space="preserve"> </t>
  </si>
  <si>
    <t>C:\Users\CMiller11\OneDrive - Rockwell Automation, Inc\Desktop\TEST\TEST QUERY.csv</t>
  </si>
  <si>
    <t>Deliverable Code</t>
  </si>
  <si>
    <t>Learning Objectives</t>
  </si>
  <si>
    <t xml:space="preserve">Method of Assessment </t>
  </si>
  <si>
    <t>Format (Delivery Method)</t>
  </si>
  <si>
    <t>Skill-based Learning Outcomes</t>
  </si>
  <si>
    <t>VIS_5031v</t>
  </si>
  <si>
    <t>FactoryTalk Optix Navigation</t>
  </si>
  <si>
    <t>Introduction to FactoryTalk Design Hub</t>
  </si>
  <si>
    <t>Given the FactoryTalk Optix Design Hub interface, the participant will be able to navigate through through the entire software environment with 100% accuracy within 5 minutes.</t>
  </si>
  <si>
    <t xml:space="preserve">Recognize the value of SaaS
Match the three sections with its descriptions in the FacturyTalk Design Hub
</t>
  </si>
  <si>
    <t>VIS_5035v</t>
  </si>
  <si>
    <t>Explore the FactoryTalk Optix Environment</t>
  </si>
  <si>
    <t>Given a FactoryTalk Optix Studio project, the participant will be able to identify all key functions and features of the environment with 90% accuracy.</t>
  </si>
  <si>
    <t>Identify functions and features of a FactoryTalk Optix project
Navigate through the FactoryTalk Optix Studio environment
Determine feature tokens for a FactoryTalk Optix project</t>
  </si>
  <si>
    <t>VIS_5038v</t>
  </si>
  <si>
    <t>UI Configuration</t>
  </si>
  <si>
    <t>Create a Hello World FactoryTalk Optix Project</t>
  </si>
  <si>
    <t>Given a FactoryTalk Optix environment, the participant will be able to create a simple "Hello World" FactoryTalk Optix project with 100% accuracy.</t>
  </si>
  <si>
    <t>Create a local FactoryTalk Optix project
Create a container
Create base control objects and configure a dynamic link</t>
  </si>
  <si>
    <t>VIS_5041v</t>
  </si>
  <si>
    <t>UI/UX Design</t>
  </si>
  <si>
    <t>Run a FactoryTalk Optix Project</t>
  </si>
  <si>
    <t>Given a FactoryTalk Optix application, the participant will be able to successfully run the application using both native and web presentation engines with 100% accuracy.</t>
  </si>
  <si>
    <t>Configure native and web presentation engines
Configure the main window
Transfer and run a FactoryTalk Optix application</t>
  </si>
  <si>
    <t>VIS_5044v</t>
  </si>
  <si>
    <t>Data Monitoring</t>
  </si>
  <si>
    <t>Configure FactoryTalk Optix Project Communications</t>
  </si>
  <si>
    <t>Given a FactoryTalk Optix project, the participant will be able to establish project communications with 100% accuracy.</t>
  </si>
  <si>
    <t>Configure communications for a FactoryTalk Optix project</t>
  </si>
  <si>
    <t>VIS_5047v</t>
  </si>
  <si>
    <t>Define Tags in FactoryTalk Optix Project</t>
  </si>
  <si>
    <t>Given a FactoryTalk Optix project, the participant will be able to create and define tags and set their units of measure with 100% accuracy.</t>
  </si>
  <si>
    <t>Import and create tags in a FactoryTalk Optix project</t>
  </si>
  <si>
    <t>VIS_5050v</t>
  </si>
  <si>
    <t>Create Variables in a FactoryTalk Optix Project</t>
  </si>
  <si>
    <t>Given a FactoryTalk Optix project, the participant will be able to effectively use variables in their projects  with 90% accuracy.</t>
  </si>
  <si>
    <t xml:space="preserve">Create a variable
Set a variable's unit of measure </t>
  </si>
  <si>
    <t>VIS_5059v</t>
  </si>
  <si>
    <t>Configure Events and Methods in a FactoryTalk Optix Project</t>
  </si>
  <si>
    <t>Given a FactoryTalk Optix project, the participant will be able to configure events and associated methods with 90% accuracy.</t>
  </si>
  <si>
    <t>Configure a change event
Add a method to an existing event</t>
  </si>
  <si>
    <t>VIS_5053v</t>
  </si>
  <si>
    <t>Design Interactive Graphics in a FactoryTalk Optix Project</t>
  </si>
  <si>
    <t>Given a FactoryTalk Optix project, the participant will be able to  create and animate graphic objects with 90% accuracy.</t>
  </si>
  <si>
    <t>Create graphic objects
Apply animations to graphic objects</t>
  </si>
  <si>
    <t>VIS_5056v</t>
  </si>
  <si>
    <t>Configure Data Converters in a FactoryTalk Optix Project</t>
  </si>
  <si>
    <t>Given a FactoryTalk Optix project, the participant will be able to configure engineering unit converters, key-value converters, and linear converters with 90% accuracy within 15 minutes.</t>
  </si>
  <si>
    <t>Configure an engineering unit converter
Configure a key-value converter
Configure a linear converter</t>
  </si>
  <si>
    <t>VIS_5062v</t>
  </si>
  <si>
    <t>Building and Versioning Libraries</t>
  </si>
  <si>
    <t>Given a FactoryTalk Optix project, the participant will be able to create local libraries, create templates from objects or variables, and version libraries with 90% accuracy.</t>
  </si>
  <si>
    <t xml:space="preserve">Create a local library
Create a template from an object or variable
Version a library
</t>
  </si>
  <si>
    <t>VIS_5065v</t>
  </si>
  <si>
    <t>Data Logging and Visualization</t>
  </si>
  <si>
    <t>Given a FactoryTalk Optix project, the participant will be able to configure data loggers and datastores, create and run data grids, and export database tables to CSV files with 90% accuracy.</t>
  </si>
  <si>
    <t>Configure a data logger and a datastore
Create and run a data grid
Export a database table to a CSV file</t>
  </si>
  <si>
    <t>VIS_5068v</t>
  </si>
  <si>
    <t>Implementing Data Control Objects</t>
  </si>
  <si>
    <t>Given a FactoryTalk Optix project, the participant will be able to create and run data control objects such as pie charts and trends with 90% accuracy.</t>
  </si>
  <si>
    <t>Create and run a pie chart 
Create and run a trend</t>
  </si>
  <si>
    <t>VIS_5071v</t>
  </si>
  <si>
    <t>Alarm Configuration and Management</t>
  </si>
  <si>
    <t>Given a FactoryTalk Optix project, the participant will be able to create alarms, create a custom alarm type, and configure an alarm grid with 90% accuracy.</t>
  </si>
  <si>
    <t>Create an alarm
Create a custom alarm type
Configure an alarm grid</t>
  </si>
  <si>
    <t>VIS_5077e</t>
  </si>
  <si>
    <t>Event Logging Setup</t>
  </si>
  <si>
    <t>Given a FactoryTalk Optix project, the participant will be able to configure event loggers with 100% accuracy.</t>
  </si>
  <si>
    <t>Configure an event logger</t>
  </si>
  <si>
    <t>VIS_5074v</t>
  </si>
  <si>
    <t>Recipe Management</t>
  </si>
  <si>
    <t>Recipe Development and Management</t>
  </si>
  <si>
    <t>Given a FactoryTalk Optix project, the participant will be able to effectively develop and manage recipes with 90% accuracy.</t>
  </si>
  <si>
    <t>Create a recipe schema
Configure the Recipe Editor widget
Import, export, and manage recipes at runtime</t>
  </si>
  <si>
    <t>VIS_5080v</t>
  </si>
  <si>
    <t>Security Definition</t>
  </si>
  <si>
    <t>Project Security Configuration</t>
  </si>
  <si>
    <t>Given a FactoryTalk Optix project, the participant will be able to effectively configure project security with 90% accuracy.</t>
  </si>
  <si>
    <t>Create users and groups
Define security for projects and presentation engines
Define security for panels and objects</t>
  </si>
  <si>
    <t>Level 1: FactoryTalk Optix Basic Configuration and Deployment (VIS150)</t>
  </si>
  <si>
    <t>FT Optix</t>
  </si>
  <si>
    <t xml:space="preserve">New Hire Engineers </t>
  </si>
  <si>
    <r>
      <t xml:space="preserve">Students will be able to create and deploy a basic FactoryTalk Optix project, monitor data, events, and alarms, and define security for the project, panels, and objects  This 4.5 instructor-led course includes a hands-on practical and an online exam. Course was created with FT Optix v1.1.
</t>
    </r>
    <r>
      <rPr>
        <b/>
        <sz val="10"/>
        <color theme="1"/>
        <rFont val="Calibri"/>
        <family val="2"/>
        <scheme val="minor"/>
      </rPr>
      <t>IMPORTANT:</t>
    </r>
    <r>
      <rPr>
        <sz val="10"/>
        <color theme="1"/>
        <rFont val="Calibri"/>
        <family val="2"/>
        <scheme val="minor"/>
      </rPr>
      <t xml:space="preserve"> Since Tailored Training file names need to match between Lessons and Labs, the Lesson file names will match with the lab DevOps ID done in the eLearning version. There is a separate column in this spreadsheet (Lesson Tab) for the actual DevOps ID number for this project. There is another column (Lesson Tab) that shows the DevOp ID done for lab eLearning version.</t>
    </r>
  </si>
  <si>
    <t>Skills (PM to start - SME to refine)</t>
  </si>
  <si>
    <t>Factory Talk UI Configuration</t>
  </si>
  <si>
    <t>Factory Talk UI/UX Design</t>
  </si>
  <si>
    <t>Factory Talk Data Monitoring</t>
  </si>
  <si>
    <t>SIEM deployment and configuration</t>
  </si>
  <si>
    <t>Factory Talk Recipe Management</t>
  </si>
  <si>
    <t>Factory Talk Security Definition</t>
  </si>
  <si>
    <t>Course Description &amp; Objectives</t>
  </si>
  <si>
    <t>This instructor-led training course is designed to provide basic knowledge of the terminology, functions, and features of FactoryTalk® Optix Studio™ software. Hands-on practice is provided through the onCourse pre-configured cloud-based environment. Instructor Led Training courses are in-person events. These allow you to work with an instructor and other students in a group environment.
After completing this course, you will be able to perform the following tasks:
• Navigate through the FactoryTalk Optix Studio environment and determine feature tokens
• Create and configure the FactoryTalk® Optix™ user interface
• Configure and monitor data, events, and alarms
• Create recipes and manage them at runtime
• Define security for projects, panels, and objects
There are no prerequisite requirements for this 4 day course.</t>
  </si>
  <si>
    <t>Enzo Pianese</t>
  </si>
  <si>
    <t>Charlene Woodrow</t>
  </si>
  <si>
    <t xml:space="preserve">Mark De Bie </t>
  </si>
  <si>
    <t>Pamela Blais</t>
  </si>
  <si>
    <t>PPT/Word</t>
  </si>
  <si>
    <t>=IF(B2&lt;&gt;"";"Epic";IF(AND(E2="Lesson Title";C2&lt;&gt;"");"Feature";IF(D2&lt;&gt;"";"Requirement ";"Error")))</t>
  </si>
  <si>
    <t>Storyline</t>
  </si>
  <si>
    <t>=IF(G3="Lesson Title";E3;"")</t>
  </si>
  <si>
    <t>=IF(G3="Lesson Title";"";F3)</t>
  </si>
  <si>
    <t>=IF(H3="Lesson Title";"";H3)</t>
  </si>
  <si>
    <t>=IF(E8="Lesson Title";A7+1;A7)</t>
  </si>
  <si>
    <t>=IF(minutes_Helper!A1="Lesson Title",D1,minutes_Helper!C1)</t>
  </si>
  <si>
    <t>=IF(minutes_Helper!A2="Lesson Title",0,D2)</t>
  </si>
  <si>
    <t>=IF(minutes_Helper!A2="Lesson Title",D2,minutes_Helper!C2)</t>
  </si>
  <si>
    <t>=IF([@Format]="Lesson Title";[@[Skill Name]];"")</t>
  </si>
  <si>
    <t>Work Item Type</t>
  </si>
  <si>
    <t>Map1</t>
  </si>
  <si>
    <t>Map2</t>
  </si>
  <si>
    <t>Map3</t>
  </si>
  <si>
    <t>Area Path</t>
  </si>
  <si>
    <t>Description</t>
  </si>
  <si>
    <t>Communication Pplan</t>
  </si>
  <si>
    <t>Technical Reviewer</t>
  </si>
  <si>
    <t>Technical Reviewer 2</t>
  </si>
  <si>
    <t>Editorial Reviewer</t>
  </si>
  <si>
    <t>New of Update</t>
  </si>
  <si>
    <t>Start Date</t>
  </si>
  <si>
    <t>Target Date</t>
  </si>
  <si>
    <t>LeGIT Content Starter Pack Sample Material update to new CDD process</t>
  </si>
  <si>
    <t>LeGIT</t>
  </si>
  <si>
    <t>RAU SMEs</t>
  </si>
  <si>
    <t>Using Regular Expressions to simplify text processing</t>
  </si>
  <si>
    <t xml:space="preserve">Gives end users of LeGIT a sample of training content that mimics the new development process; users have an example to reference when they build their own content in LeGIT.
Also, shows LeGIT users how to use a powerful development tool, Regular Expressions, to do 'powered up' find and replace in text files in VScode. </t>
  </si>
  <si>
    <t xml:space="preserve">Provide an example of CDD to LeGIT content. 
Provide a tutorial on how to use regular expressions within LeGIT. </t>
  </si>
  <si>
    <t xml:space="preserve">This course demonstrates how to use regular expressions within VS Code. Students will learn to identify and modify existing regular expressions and create regular expressions to complete 'en masse' search and replace operations on clear text documents. These skills empower authors of text content to quickly and efficiently make changes across one or more files more easily than using default search and replace tools.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</si>
</sst>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4" x14ac:knownFonts="1">
    <font>
      <sz val="11"/>
      <color theme="1"/>
      <name val="Calibri"/>
      <family val="2"/>
      <scheme val="minor"/>
    </font>
    <font>
      <b/>
      <sz val="11"/>
      <color theme="1"/>
      <name val="Calibri"/>
      <family val="2"/>
      <scheme val="minor"/>
    </font>
    <font>
      <b/>
      <sz val="9"/>
      <color indexed="81"/>
      <name val="Tahoma"/>
      <family val="2"/>
    </font>
    <font>
      <sz val="10"/>
      <color theme="1"/>
      <name val="Calibri"/>
      <family val="2"/>
      <scheme val="minor"/>
    </font>
    <font>
      <b/>
      <sz val="10"/>
      <color theme="1"/>
      <name val="Calibri"/>
      <family val="2"/>
      <scheme val="minor"/>
    </font>
    <font>
      <sz val="9"/>
      <color indexed="81"/>
      <name val="Tahoma"/>
      <family val="2"/>
    </font>
    <font>
      <sz val="8"/>
      <name val="Calibri"/>
      <family val="2"/>
      <scheme val="minor"/>
    </font>
    <font>
      <u/>
      <sz val="11"/>
      <color theme="10"/>
      <name val="Calibri"/>
      <family val="2"/>
      <scheme val="minor"/>
    </font>
    <font>
      <sz val="10"/>
      <color rgb="FF000000"/>
      <name val="Calibri"/>
      <family val="2"/>
      <scheme val="minor"/>
    </font>
    <font>
      <sz val="10"/>
      <name val="Calibri"/>
      <family val="2"/>
      <scheme val="minor"/>
    </font>
    <font>
      <b/>
      <sz val="10"/>
      <color rgb="FFC00000"/>
      <name val="Calibri"/>
      <family val="2"/>
      <scheme val="minor"/>
    </font>
    <font>
      <sz val="9"/>
      <color theme="1"/>
      <name val="Calibri"/>
      <family val="2"/>
      <scheme val="minor"/>
    </font>
    <font>
      <b/>
      <sz val="11"/>
      <color rgb="FF000000"/>
      <name val="Calibri"/>
      <family val="2"/>
      <scheme val="minor"/>
    </font>
    <font>
      <sz val="9"/>
      <color rgb="FF000000"/>
      <name val="Calibri"/>
      <family val="2"/>
      <scheme val="minor"/>
    </font>
    <font>
      <sz val="10"/>
      <color rgb="FFC00000"/>
      <name val="Calibri"/>
      <family val="2"/>
      <scheme val="minor"/>
    </font>
    <font>
      <b/>
      <sz val="14"/>
      <color theme="1"/>
      <name val="Calibri"/>
      <family val="2"/>
      <scheme val="minor"/>
    </font>
    <font>
      <b/>
      <i/>
      <u/>
      <sz val="14"/>
      <color theme="1"/>
      <name val="Calibri"/>
      <family val="2"/>
      <scheme val="minor"/>
    </font>
    <font>
      <b/>
      <sz val="10"/>
      <name val="Calibri"/>
      <family val="2"/>
      <scheme val="minor"/>
    </font>
    <font>
      <sz val="11"/>
      <color rgb="FFFF0000"/>
      <name val="Calibri"/>
      <family val="2"/>
      <scheme val="minor"/>
    </font>
    <font>
      <i/>
      <sz val="11"/>
      <color theme="1"/>
      <name val="Calibri"/>
      <family val="2"/>
      <scheme val="minor"/>
    </font>
    <font>
      <sz val="11"/>
      <color rgb="FF242424"/>
      <name val="Segoe UI"/>
      <family val="2"/>
    </font>
    <font>
      <b/>
      <sz val="11"/>
      <color rgb="FF242424"/>
      <name val="Calibri"/>
      <family val="2"/>
      <scheme val="minor"/>
    </font>
    <font>
      <sz val="11"/>
      <color rgb="FF242424"/>
      <name val="Calibri"/>
      <family val="2"/>
      <scheme val="minor"/>
    </font>
    <font>
      <b/>
      <sz val="16"/>
      <color rgb="FF242424"/>
      <name val="Calibri"/>
      <family val="2"/>
      <scheme val="minor"/>
    </font>
    <font>
      <b/>
      <sz val="11"/>
      <name val="Calibri"/>
      <family val="2"/>
      <scheme val="minor"/>
    </font>
    <font>
      <i/>
      <sz val="9"/>
      <color indexed="81"/>
      <name val="Tahoma"/>
      <family val="2"/>
    </font>
    <font>
      <i/>
      <sz val="8"/>
      <color indexed="81"/>
      <name val="Tahoma"/>
      <family val="2"/>
    </font>
    <font>
      <b/>
      <u/>
      <sz val="9"/>
      <color indexed="81"/>
      <name val="Tahoma"/>
      <family val="2"/>
    </font>
    <font>
      <b/>
      <i/>
      <sz val="9"/>
      <color indexed="81"/>
      <name val="Tahoma"/>
      <family val="2"/>
    </font>
    <font>
      <sz val="10"/>
      <color rgb="FF000000"/>
      <name val="Calibri"/>
      <scheme val="minor"/>
    </font>
    <font>
      <b/>
      <sz val="11"/>
      <color rgb="FFC00000"/>
      <name val="Calibri"/>
      <family val="2"/>
      <scheme val="minor"/>
    </font>
    <font>
      <sz val="11"/>
      <color rgb="FFC00000"/>
      <name val="Calibri"/>
      <family val="2"/>
      <scheme val="minor"/>
    </font>
    <font>
      <i/>
      <sz val="11"/>
      <color rgb="FFC00000"/>
      <name val="Calibri"/>
      <family val="2"/>
      <scheme val="minor"/>
    </font>
    <font>
      <sz val="11"/>
      <color rgb="FF000000"/>
      <name val="Calibri"/>
      <family val="2"/>
    </font>
  </fonts>
  <fills count="1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tint="0.79998168889431442"/>
        <bgColor theme="9"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FF"/>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2"/>
        <bgColor indexed="64"/>
      </patternFill>
    </fill>
  </fills>
  <borders count="4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indexed="64"/>
      </right>
      <top style="medium">
        <color indexed="64"/>
      </top>
      <bottom style="medium">
        <color indexed="64"/>
      </bottom>
      <diagonal/>
    </border>
    <border>
      <left style="medium">
        <color indexed="64"/>
      </left>
      <right style="medium">
        <color rgb="FF000000"/>
      </right>
      <top style="medium">
        <color indexed="64"/>
      </top>
      <bottom style="medium">
        <color indexed="64"/>
      </bottom>
      <diagonal/>
    </border>
    <border>
      <left style="medium">
        <color rgb="FF000000"/>
      </left>
      <right style="medium">
        <color rgb="FF000000"/>
      </right>
      <top style="medium">
        <color indexed="64"/>
      </top>
      <bottom style="medium">
        <color indexed="64"/>
      </bottom>
      <diagonal/>
    </border>
    <border>
      <left style="medium">
        <color rgb="FF000000"/>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rgb="FF000000"/>
      </right>
      <top/>
      <bottom/>
      <diagonal/>
    </border>
    <border>
      <left/>
      <right/>
      <top/>
      <bottom style="thin">
        <color auto="1"/>
      </bottom>
      <diagonal/>
    </border>
    <border>
      <left style="thin">
        <color theme="9" tint="-0.249977111117893"/>
      </left>
      <right/>
      <top/>
      <bottom/>
      <diagonal/>
    </border>
    <border>
      <left/>
      <right/>
      <top style="thin">
        <color theme="9" tint="-0.249977111117893"/>
      </top>
      <bottom/>
      <diagonal/>
    </border>
    <border>
      <left style="thin">
        <color auto="1"/>
      </left>
      <right/>
      <top style="thin">
        <color theme="9" tint="-0.249977111117893"/>
      </top>
      <bottom/>
      <diagonal/>
    </border>
    <border>
      <left style="thick">
        <color theme="9"/>
      </left>
      <right/>
      <top style="thick">
        <color theme="9"/>
      </top>
      <bottom/>
      <diagonal/>
    </border>
    <border>
      <left/>
      <right/>
      <top style="thick">
        <color theme="9"/>
      </top>
      <bottom/>
      <diagonal/>
    </border>
    <border>
      <left/>
      <right style="thick">
        <color theme="9"/>
      </right>
      <top style="thick">
        <color theme="9"/>
      </top>
      <bottom/>
      <diagonal/>
    </border>
    <border>
      <left style="thick">
        <color theme="9"/>
      </left>
      <right/>
      <top/>
      <bottom/>
      <diagonal/>
    </border>
    <border>
      <left/>
      <right style="thick">
        <color theme="9"/>
      </right>
      <top/>
      <bottom/>
      <diagonal/>
    </border>
    <border>
      <left style="thick">
        <color theme="9"/>
      </left>
      <right/>
      <top/>
      <bottom style="thick">
        <color theme="9"/>
      </bottom>
      <diagonal/>
    </border>
    <border>
      <left/>
      <right/>
      <top/>
      <bottom style="thick">
        <color theme="9"/>
      </bottom>
      <diagonal/>
    </border>
    <border>
      <left/>
      <right style="thick">
        <color theme="9"/>
      </right>
      <top/>
      <bottom style="thick">
        <color theme="9"/>
      </bottom>
      <diagonal/>
    </border>
    <border>
      <left/>
      <right/>
      <top style="thin">
        <color auto="1"/>
      </top>
      <bottom style="thin">
        <color theme="9" tint="-0.249977111117893"/>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ck">
        <color theme="9"/>
      </left>
      <right/>
      <top style="thick">
        <color theme="9"/>
      </top>
      <bottom style="thick">
        <color theme="9"/>
      </bottom>
      <diagonal/>
    </border>
    <border>
      <left/>
      <right/>
      <top style="thick">
        <color theme="9"/>
      </top>
      <bottom style="thick">
        <color theme="9"/>
      </bottom>
      <diagonal/>
    </border>
    <border>
      <left/>
      <right style="thick">
        <color theme="9"/>
      </right>
      <top style="thick">
        <color theme="9"/>
      </top>
      <bottom style="thick">
        <color theme="9"/>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2">
    <xf numFmtId="0" fontId="0" fillId="0" borderId="0"/>
    <xf numFmtId="0" fontId="7" fillId="0" borderId="0" applyNumberFormat="0" applyFill="0" applyBorder="0" applyAlignment="0" applyProtection="0"/>
  </cellStyleXfs>
  <cellXfs count="267">
    <xf numFmtId="0" fontId="0" fillId="0" borderId="0" xfId="0"/>
    <xf numFmtId="0" fontId="3" fillId="0" borderId="0" xfId="0" applyFont="1"/>
    <xf numFmtId="0" fontId="4" fillId="0" borderId="0" xfId="0" applyFont="1"/>
    <xf numFmtId="0" fontId="4" fillId="2" borderId="1" xfId="0" applyFont="1" applyFill="1" applyBorder="1"/>
    <xf numFmtId="0" fontId="3" fillId="0" borderId="0" xfId="0" applyFont="1" applyAlignment="1">
      <alignment vertical="top" wrapText="1"/>
    </xf>
    <xf numFmtId="0" fontId="0" fillId="0" borderId="0" xfId="0" applyAlignment="1">
      <alignment vertical="top" wrapText="1"/>
    </xf>
    <xf numFmtId="0" fontId="3" fillId="4" borderId="1" xfId="0" applyFont="1" applyFill="1" applyBorder="1" applyProtection="1">
      <protection locked="0"/>
    </xf>
    <xf numFmtId="0" fontId="3" fillId="0" borderId="0" xfId="0" applyFont="1" applyAlignment="1">
      <alignment horizontal="center"/>
    </xf>
    <xf numFmtId="0" fontId="3" fillId="4" borderId="1" xfId="0" applyFont="1" applyFill="1" applyBorder="1" applyAlignment="1" applyProtection="1">
      <alignment horizontal="left" vertical="top"/>
      <protection locked="0"/>
    </xf>
    <xf numFmtId="0" fontId="3" fillId="4" borderId="1" xfId="0" applyFont="1" applyFill="1" applyBorder="1" applyAlignment="1" applyProtection="1">
      <alignment horizontal="left" vertical="top" wrapText="1"/>
      <protection locked="0"/>
    </xf>
    <xf numFmtId="0" fontId="4" fillId="2" borderId="5" xfId="0" applyFont="1" applyFill="1" applyBorder="1" applyAlignment="1">
      <alignment horizontal="center"/>
    </xf>
    <xf numFmtId="0" fontId="4" fillId="2" borderId="6" xfId="0" applyFont="1" applyFill="1" applyBorder="1"/>
    <xf numFmtId="0" fontId="4" fillId="2" borderId="7" xfId="0" applyFont="1" applyFill="1" applyBorder="1" applyAlignment="1">
      <alignment horizontal="center"/>
    </xf>
    <xf numFmtId="0" fontId="3" fillId="4" borderId="1" xfId="0" applyFont="1" applyFill="1" applyBorder="1" applyAlignment="1">
      <alignment horizontal="left" vertical="top" wrapText="1"/>
    </xf>
    <xf numFmtId="0" fontId="0" fillId="0" borderId="0" xfId="0" quotePrefix="1"/>
    <xf numFmtId="0" fontId="0" fillId="5" borderId="0" xfId="0" applyFill="1"/>
    <xf numFmtId="0" fontId="0" fillId="6" borderId="9" xfId="0" applyFill="1" applyBorder="1"/>
    <xf numFmtId="0" fontId="0" fillId="6" borderId="10" xfId="0" applyFill="1" applyBorder="1"/>
    <xf numFmtId="0" fontId="0" fillId="0" borderId="1" xfId="0" applyBorder="1"/>
    <xf numFmtId="0" fontId="0" fillId="5" borderId="1" xfId="0" applyFill="1" applyBorder="1"/>
    <xf numFmtId="0" fontId="7" fillId="4" borderId="1" xfId="1" applyFill="1" applyBorder="1" applyProtection="1">
      <protection locked="0"/>
    </xf>
    <xf numFmtId="14" fontId="0" fillId="0" borderId="0" xfId="0" applyNumberFormat="1"/>
    <xf numFmtId="0" fontId="3" fillId="4" borderId="8" xfId="0" applyFont="1" applyFill="1" applyBorder="1" applyAlignment="1" applyProtection="1">
      <alignment horizontal="left" vertical="top"/>
      <protection locked="0"/>
    </xf>
    <xf numFmtId="0" fontId="3" fillId="4" borderId="8" xfId="0" applyFont="1" applyFill="1" applyBorder="1" applyAlignment="1" applyProtection="1">
      <alignment horizontal="left" vertical="top" wrapText="1"/>
      <protection locked="0"/>
    </xf>
    <xf numFmtId="0" fontId="0" fillId="0" borderId="0" xfId="0" applyAlignment="1">
      <alignment wrapText="1"/>
    </xf>
    <xf numFmtId="0" fontId="4" fillId="7" borderId="11" xfId="0" applyFont="1" applyFill="1" applyBorder="1"/>
    <xf numFmtId="0" fontId="4" fillId="8" borderId="11" xfId="0" applyFont="1" applyFill="1" applyBorder="1"/>
    <xf numFmtId="0" fontId="3" fillId="5" borderId="1" xfId="0" applyFont="1" applyFill="1" applyBorder="1"/>
    <xf numFmtId="0" fontId="3" fillId="5" borderId="0" xfId="0" applyFont="1" applyFill="1"/>
    <xf numFmtId="0" fontId="3" fillId="4" borderId="6" xfId="0" applyFont="1" applyFill="1" applyBorder="1" applyAlignment="1" applyProtection="1">
      <alignment horizontal="left" vertical="top"/>
      <protection locked="0"/>
    </xf>
    <xf numFmtId="0" fontId="4" fillId="2" borderId="6" xfId="0" applyFont="1" applyFill="1" applyBorder="1" applyAlignment="1">
      <alignment wrapText="1"/>
    </xf>
    <xf numFmtId="0" fontId="9" fillId="4" borderId="1" xfId="1" applyFont="1" applyFill="1" applyBorder="1" applyProtection="1">
      <protection locked="0"/>
    </xf>
    <xf numFmtId="0" fontId="11" fillId="0" borderId="0" xfId="0" applyFont="1" applyAlignment="1">
      <alignment wrapText="1"/>
    </xf>
    <xf numFmtId="0" fontId="13" fillId="0" borderId="0" xfId="0" applyFont="1" applyAlignment="1">
      <alignment wrapText="1"/>
    </xf>
    <xf numFmtId="0" fontId="0" fillId="0" borderId="0" xfId="0" applyAlignment="1">
      <alignment vertical="center"/>
    </xf>
    <xf numFmtId="0" fontId="13" fillId="0" borderId="0" xfId="0" applyFont="1" applyAlignment="1">
      <alignment vertical="center" wrapText="1"/>
    </xf>
    <xf numFmtId="0" fontId="11" fillId="0" borderId="0" xfId="0" applyFont="1" applyAlignment="1">
      <alignment vertical="center" wrapText="1"/>
    </xf>
    <xf numFmtId="0" fontId="0" fillId="0" borderId="0" xfId="0" applyAlignment="1">
      <alignment horizontal="center" wrapText="1"/>
    </xf>
    <xf numFmtId="0" fontId="0" fillId="0" borderId="0" xfId="0" applyAlignment="1">
      <alignment vertical="center" wrapText="1"/>
    </xf>
    <xf numFmtId="0" fontId="12" fillId="0" borderId="0" xfId="0" applyFont="1" applyAlignment="1">
      <alignment horizontal="left" wrapText="1"/>
    </xf>
    <xf numFmtId="0" fontId="4" fillId="2" borderId="7" xfId="0" applyFont="1" applyFill="1" applyBorder="1"/>
    <xf numFmtId="0" fontId="1" fillId="0" borderId="1" xfId="0" applyFont="1" applyBorder="1" applyAlignment="1">
      <alignment vertical="center" wrapText="1"/>
    </xf>
    <xf numFmtId="0" fontId="0" fillId="0" borderId="15" xfId="0" applyBorder="1" applyAlignment="1">
      <alignment wrapText="1"/>
    </xf>
    <xf numFmtId="0" fontId="0" fillId="0" borderId="8" xfId="0" applyBorder="1" applyAlignment="1">
      <alignment wrapText="1"/>
    </xf>
    <xf numFmtId="0" fontId="1" fillId="0" borderId="0" xfId="0" applyFont="1"/>
    <xf numFmtId="0" fontId="1" fillId="0" borderId="1" xfId="0" applyFont="1" applyBorder="1" applyAlignment="1">
      <alignment vertical="center"/>
    </xf>
    <xf numFmtId="0" fontId="3" fillId="0" borderId="0" xfId="0" applyFont="1" applyAlignment="1">
      <alignment vertical="top"/>
    </xf>
    <xf numFmtId="14" fontId="3" fillId="4" borderId="2" xfId="0" applyNumberFormat="1" applyFont="1" applyFill="1" applyBorder="1" applyAlignment="1" applyProtection="1">
      <alignment horizontal="left"/>
      <protection locked="0"/>
    </xf>
    <xf numFmtId="14" fontId="3" fillId="4" borderId="4" xfId="0" applyNumberFormat="1" applyFont="1" applyFill="1" applyBorder="1" applyAlignment="1" applyProtection="1">
      <alignment horizontal="left"/>
      <protection locked="0"/>
    </xf>
    <xf numFmtId="0" fontId="4" fillId="0" borderId="1" xfId="0" applyFont="1" applyBorder="1"/>
    <xf numFmtId="0" fontId="20" fillId="11" borderId="17" xfId="0" applyFont="1" applyFill="1" applyBorder="1" applyAlignment="1">
      <alignment vertical="center" wrapText="1"/>
    </xf>
    <xf numFmtId="0" fontId="19" fillId="0" borderId="0" xfId="0" applyFont="1"/>
    <xf numFmtId="0" fontId="21" fillId="11" borderId="19" xfId="0" applyFont="1" applyFill="1" applyBorder="1" applyAlignment="1">
      <alignment horizontal="center" vertical="center" wrapText="1"/>
    </xf>
    <xf numFmtId="0" fontId="21" fillId="11" borderId="20" xfId="0" applyFont="1" applyFill="1" applyBorder="1" applyAlignment="1">
      <alignment horizontal="center" vertical="center" wrapText="1"/>
    </xf>
    <xf numFmtId="0" fontId="21" fillId="11" borderId="21" xfId="0" applyFont="1" applyFill="1" applyBorder="1" applyAlignment="1">
      <alignment horizontal="center" vertical="center" wrapText="1"/>
    </xf>
    <xf numFmtId="0" fontId="22" fillId="11" borderId="17" xfId="0" applyFont="1" applyFill="1" applyBorder="1" applyAlignment="1">
      <alignment vertical="center" wrapText="1"/>
    </xf>
    <xf numFmtId="49" fontId="20" fillId="11" borderId="17" xfId="0" applyNumberFormat="1" applyFont="1" applyFill="1" applyBorder="1" applyAlignment="1">
      <alignment vertical="center" wrapText="1"/>
    </xf>
    <xf numFmtId="0" fontId="21" fillId="11" borderId="22" xfId="0" applyFont="1" applyFill="1" applyBorder="1" applyAlignment="1">
      <alignment horizontal="center" vertical="center" wrapText="1"/>
    </xf>
    <xf numFmtId="0" fontId="21" fillId="11" borderId="18" xfId="0" applyFont="1" applyFill="1" applyBorder="1" applyAlignment="1">
      <alignment horizontal="center" vertical="center" wrapText="1"/>
    </xf>
    <xf numFmtId="0" fontId="18" fillId="0" borderId="0" xfId="0" applyFont="1"/>
    <xf numFmtId="49" fontId="22" fillId="11" borderId="17" xfId="0" applyNumberFormat="1" applyFont="1" applyFill="1" applyBorder="1" applyAlignment="1">
      <alignment vertical="center" wrapText="1"/>
    </xf>
    <xf numFmtId="0" fontId="23" fillId="11" borderId="17" xfId="0" applyFont="1" applyFill="1" applyBorder="1" applyAlignment="1">
      <alignment vertical="center" wrapText="1"/>
    </xf>
    <xf numFmtId="0" fontId="4" fillId="2" borderId="2" xfId="0" applyFont="1" applyFill="1" applyBorder="1" applyAlignment="1">
      <alignment horizontal="left"/>
    </xf>
    <xf numFmtId="0" fontId="3" fillId="0" borderId="4" xfId="0" applyFont="1" applyBorder="1" applyAlignment="1" applyProtection="1">
      <alignment vertical="top" wrapText="1"/>
      <protection locked="0"/>
    </xf>
    <xf numFmtId="0" fontId="4" fillId="9" borderId="2" xfId="0" applyFont="1" applyFill="1" applyBorder="1" applyAlignment="1">
      <alignment vertical="top"/>
    </xf>
    <xf numFmtId="0" fontId="4" fillId="9" borderId="1" xfId="0" applyFont="1" applyFill="1" applyBorder="1"/>
    <xf numFmtId="0" fontId="4" fillId="9" borderId="16" xfId="0" applyFont="1" applyFill="1" applyBorder="1"/>
    <xf numFmtId="0" fontId="17" fillId="9" borderId="1" xfId="0" applyFont="1" applyFill="1" applyBorder="1"/>
    <xf numFmtId="0" fontId="0" fillId="0" borderId="0" xfId="0" applyAlignment="1">
      <alignment horizontal="left" vertical="top"/>
    </xf>
    <xf numFmtId="0" fontId="1" fillId="0" borderId="1" xfId="0" applyFont="1" applyBorder="1" applyAlignment="1">
      <alignment horizontal="left" vertical="top"/>
    </xf>
    <xf numFmtId="14" fontId="0" fillId="0" borderId="0" xfId="0" applyNumberFormat="1" applyAlignment="1">
      <alignment horizontal="left"/>
    </xf>
    <xf numFmtId="164" fontId="0" fillId="0" borderId="0" xfId="0" applyNumberFormat="1" applyAlignment="1">
      <alignment horizontal="left" vertical="top"/>
    </xf>
    <xf numFmtId="0" fontId="1" fillId="0" borderId="1" xfId="0" applyFont="1" applyBorder="1" applyAlignment="1">
      <alignment vertical="top"/>
    </xf>
    <xf numFmtId="0" fontId="4" fillId="2" borderId="5" xfId="0" applyFont="1" applyFill="1" applyBorder="1" applyAlignment="1">
      <alignment horizontal="left"/>
    </xf>
    <xf numFmtId="0" fontId="8" fillId="0" borderId="0" xfId="0" applyFont="1" applyAlignment="1">
      <alignment wrapText="1"/>
    </xf>
    <xf numFmtId="0" fontId="1" fillId="2" borderId="1" xfId="0" applyFont="1" applyFill="1" applyBorder="1"/>
    <xf numFmtId="0" fontId="0" fillId="0" borderId="0" xfId="0" applyAlignment="1">
      <alignment horizontal="left"/>
    </xf>
    <xf numFmtId="0" fontId="1" fillId="9" borderId="1" xfId="0" applyFont="1" applyFill="1"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2" xfId="0" applyBorder="1"/>
    <xf numFmtId="0" fontId="0" fillId="0" borderId="7" xfId="0" applyBorder="1"/>
    <xf numFmtId="0" fontId="0" fillId="0" borderId="24" xfId="0" applyBorder="1"/>
    <xf numFmtId="0" fontId="0" fillId="0" borderId="5" xfId="0" applyBorder="1"/>
    <xf numFmtId="0" fontId="0" fillId="0" borderId="14" xfId="0" applyBorder="1" applyAlignment="1">
      <alignment wrapText="1"/>
    </xf>
    <xf numFmtId="0" fontId="0" fillId="0" borderId="0" xfId="0" applyAlignment="1">
      <alignment horizontal="center"/>
    </xf>
    <xf numFmtId="0" fontId="23" fillId="0" borderId="17" xfId="0" applyFont="1" applyBorder="1" applyAlignment="1">
      <alignment vertical="center" wrapText="1"/>
    </xf>
    <xf numFmtId="0" fontId="22" fillId="0" borderId="17" xfId="0" applyFont="1" applyBorder="1" applyAlignment="1">
      <alignment vertical="center" wrapText="1"/>
    </xf>
    <xf numFmtId="49" fontId="20" fillId="0" borderId="17" xfId="0" applyNumberFormat="1" applyFont="1" applyBorder="1" applyAlignment="1">
      <alignment vertical="center" wrapText="1"/>
    </xf>
    <xf numFmtId="0" fontId="20" fillId="0" borderId="17" xfId="0" applyFont="1" applyBorder="1" applyAlignment="1">
      <alignment vertical="center" wrapText="1"/>
    </xf>
    <xf numFmtId="0" fontId="0" fillId="4" borderId="0" xfId="0" applyFill="1"/>
    <xf numFmtId="0" fontId="23" fillId="4" borderId="17" xfId="0" applyFont="1" applyFill="1" applyBorder="1" applyAlignment="1">
      <alignment vertical="center" wrapText="1"/>
    </xf>
    <xf numFmtId="0" fontId="22" fillId="4" borderId="17" xfId="0" applyFont="1" applyFill="1" applyBorder="1" applyAlignment="1">
      <alignment vertical="center" wrapText="1"/>
    </xf>
    <xf numFmtId="0" fontId="20" fillId="4" borderId="17" xfId="0" applyFont="1" applyFill="1" applyBorder="1" applyAlignment="1">
      <alignment vertical="center" wrapText="1"/>
    </xf>
    <xf numFmtId="0" fontId="0" fillId="12" borderId="0" xfId="0" applyFill="1"/>
    <xf numFmtId="0" fontId="14" fillId="4" borderId="0" xfId="0" applyFont="1" applyFill="1" applyAlignment="1">
      <alignment horizontal="center"/>
    </xf>
    <xf numFmtId="0" fontId="3" fillId="12" borderId="6" xfId="0" applyFont="1" applyFill="1" applyBorder="1" applyAlignment="1" applyProtection="1">
      <alignment horizontal="left" vertical="top" wrapText="1"/>
      <protection locked="0"/>
    </xf>
    <xf numFmtId="0" fontId="3" fillId="12" borderId="1" xfId="0" applyFont="1" applyFill="1" applyBorder="1" applyAlignment="1" applyProtection="1">
      <alignment horizontal="left" vertical="top"/>
      <protection locked="0"/>
    </xf>
    <xf numFmtId="0" fontId="3" fillId="12" borderId="1" xfId="0" applyFont="1" applyFill="1" applyBorder="1" applyAlignment="1" applyProtection="1">
      <alignment horizontal="left" vertical="top" wrapText="1"/>
      <protection locked="0"/>
    </xf>
    <xf numFmtId="0" fontId="3" fillId="12" borderId="2" xfId="0" applyFont="1" applyFill="1" applyBorder="1" applyAlignment="1" applyProtection="1">
      <alignment horizontal="left" vertical="top" wrapText="1"/>
      <protection locked="0"/>
    </xf>
    <xf numFmtId="0" fontId="3" fillId="12" borderId="1" xfId="0" applyFont="1" applyFill="1" applyBorder="1" applyAlignment="1" applyProtection="1">
      <alignment horizontal="center" vertical="top"/>
      <protection locked="0"/>
    </xf>
    <xf numFmtId="0" fontId="3" fillId="12" borderId="6" xfId="0" applyFont="1" applyFill="1" applyBorder="1" applyAlignment="1">
      <alignment horizontal="left" vertical="top" wrapText="1"/>
    </xf>
    <xf numFmtId="0" fontId="3" fillId="12" borderId="6" xfId="0" applyFont="1" applyFill="1" applyBorder="1" applyAlignment="1" applyProtection="1">
      <alignment horizontal="left" vertical="top"/>
      <protection locked="0"/>
    </xf>
    <xf numFmtId="0" fontId="3" fillId="12" borderId="1" xfId="0" applyFont="1" applyFill="1" applyBorder="1" applyAlignment="1">
      <alignment horizontal="center" vertical="top" wrapText="1"/>
    </xf>
    <xf numFmtId="0" fontId="8" fillId="12" borderId="6" xfId="0" applyFont="1" applyFill="1" applyBorder="1" applyAlignment="1" applyProtection="1">
      <alignment horizontal="left" vertical="top"/>
      <protection locked="0"/>
    </xf>
    <xf numFmtId="0" fontId="3" fillId="12" borderId="6" xfId="0" applyFont="1" applyFill="1" applyBorder="1" applyAlignment="1">
      <alignment horizontal="left" vertical="top"/>
    </xf>
    <xf numFmtId="0" fontId="3" fillId="12" borderId="1" xfId="0" applyFont="1" applyFill="1" applyBorder="1" applyAlignment="1">
      <alignment horizontal="left" vertical="top" wrapText="1"/>
    </xf>
    <xf numFmtId="0" fontId="3" fillId="12" borderId="2" xfId="0" applyFont="1" applyFill="1" applyBorder="1" applyAlignment="1">
      <alignment horizontal="left" vertical="top" wrapText="1"/>
    </xf>
    <xf numFmtId="0" fontId="3" fillId="12" borderId="1" xfId="0" applyFont="1" applyFill="1" applyBorder="1" applyAlignment="1">
      <alignment horizontal="center" vertical="top"/>
    </xf>
    <xf numFmtId="0" fontId="3" fillId="12" borderId="8" xfId="0" applyFont="1" applyFill="1" applyBorder="1" applyAlignment="1" applyProtection="1">
      <alignment horizontal="left" vertical="top" wrapText="1"/>
      <protection locked="0"/>
    </xf>
    <xf numFmtId="0" fontId="3" fillId="12" borderId="8" xfId="0" applyFont="1" applyFill="1" applyBorder="1" applyAlignment="1" applyProtection="1">
      <alignment horizontal="left" vertical="top"/>
      <protection locked="0"/>
    </xf>
    <xf numFmtId="0" fontId="3" fillId="12" borderId="12" xfId="0" applyFont="1" applyFill="1" applyBorder="1" applyAlignment="1" applyProtection="1">
      <alignment horizontal="left" vertical="top"/>
      <protection locked="0"/>
    </xf>
    <xf numFmtId="0" fontId="3" fillId="12" borderId="8" xfId="0" applyFont="1" applyFill="1" applyBorder="1" applyAlignment="1">
      <alignment horizontal="left" vertical="top" wrapText="1"/>
    </xf>
    <xf numFmtId="0" fontId="3" fillId="12" borderId="1" xfId="0" applyFont="1" applyFill="1" applyBorder="1"/>
    <xf numFmtId="0" fontId="3" fillId="12" borderId="11" xfId="0" applyFont="1" applyFill="1" applyBorder="1" applyAlignment="1" applyProtection="1">
      <alignment horizontal="left" vertical="top"/>
      <protection locked="0"/>
    </xf>
    <xf numFmtId="0" fontId="0" fillId="0" borderId="6" xfId="0" applyBorder="1" applyAlignment="1">
      <alignment wrapText="1"/>
    </xf>
    <xf numFmtId="0" fontId="0" fillId="0" borderId="5" xfId="0" applyBorder="1" applyAlignment="1">
      <alignment wrapText="1"/>
    </xf>
    <xf numFmtId="0" fontId="1" fillId="0" borderId="0" xfId="0" applyFont="1" applyAlignment="1">
      <alignment horizontal="left" wrapText="1"/>
    </xf>
    <xf numFmtId="0" fontId="3" fillId="0" borderId="25" xfId="0" applyFont="1" applyBorder="1"/>
    <xf numFmtId="0" fontId="3" fillId="0" borderId="0" xfId="0" applyFont="1" applyAlignment="1" applyProtection="1">
      <alignment vertical="top"/>
      <protection locked="0"/>
    </xf>
    <xf numFmtId="0" fontId="1" fillId="14" borderId="1" xfId="0" applyFont="1" applyFill="1" applyBorder="1" applyAlignment="1">
      <alignment vertical="top" wrapText="1"/>
    </xf>
    <xf numFmtId="0" fontId="4" fillId="4" borderId="1" xfId="0" applyFont="1" applyFill="1" applyBorder="1" applyAlignment="1">
      <alignment vertical="top" wrapText="1"/>
    </xf>
    <xf numFmtId="0" fontId="1" fillId="4" borderId="1" xfId="0" applyFont="1" applyFill="1" applyBorder="1" applyAlignment="1">
      <alignment vertical="top" wrapText="1"/>
    </xf>
    <xf numFmtId="0" fontId="4" fillId="4" borderId="1" xfId="0" applyFont="1" applyFill="1" applyBorder="1"/>
    <xf numFmtId="0" fontId="3" fillId="4" borderId="1" xfId="0" applyFont="1" applyFill="1" applyBorder="1" applyAlignment="1">
      <alignment vertical="top" wrapText="1"/>
    </xf>
    <xf numFmtId="0" fontId="0" fillId="4" borderId="1" xfId="0" applyFill="1" applyBorder="1" applyAlignment="1">
      <alignment vertical="top" wrapText="1"/>
    </xf>
    <xf numFmtId="0" fontId="3" fillId="4" borderId="1" xfId="0" applyFont="1" applyFill="1" applyBorder="1"/>
    <xf numFmtId="0" fontId="1" fillId="14" borderId="40" xfId="0" applyFont="1" applyFill="1" applyBorder="1" applyAlignment="1">
      <alignment vertical="top" wrapText="1"/>
    </xf>
    <xf numFmtId="0" fontId="1" fillId="14" borderId="41" xfId="0" applyFont="1" applyFill="1" applyBorder="1"/>
    <xf numFmtId="0" fontId="1" fillId="9" borderId="2" xfId="0" applyFont="1" applyFill="1" applyBorder="1" applyAlignment="1">
      <alignment vertical="top"/>
    </xf>
    <xf numFmtId="0" fontId="24" fillId="9" borderId="1" xfId="0" applyFont="1" applyFill="1" applyBorder="1"/>
    <xf numFmtId="0" fontId="9" fillId="0" borderId="0" xfId="0" applyFont="1"/>
    <xf numFmtId="0" fontId="1" fillId="9" borderId="6" xfId="0" applyFont="1" applyFill="1" applyBorder="1"/>
    <xf numFmtId="0" fontId="1" fillId="9" borderId="12" xfId="0" applyFont="1" applyFill="1" applyBorder="1"/>
    <xf numFmtId="0" fontId="29" fillId="12" borderId="1" xfId="0" applyFont="1" applyFill="1" applyBorder="1" applyAlignment="1" applyProtection="1">
      <alignment horizontal="left" vertical="top" wrapText="1"/>
      <protection locked="0"/>
    </xf>
    <xf numFmtId="0" fontId="3" fillId="4" borderId="2" xfId="0" applyFont="1" applyFill="1" applyBorder="1" applyAlignment="1" applyProtection="1">
      <alignment horizontal="left" vertical="top" wrapText="1"/>
      <protection locked="0"/>
    </xf>
    <xf numFmtId="0" fontId="3" fillId="4" borderId="3" xfId="0" applyFont="1" applyFill="1" applyBorder="1" applyAlignment="1" applyProtection="1">
      <alignment horizontal="left" vertical="top" wrapText="1"/>
      <protection locked="0"/>
    </xf>
    <xf numFmtId="0" fontId="3" fillId="4" borderId="4" xfId="0" applyFont="1" applyFill="1" applyBorder="1" applyAlignment="1" applyProtection="1">
      <alignment horizontal="left" vertical="top" wrapText="1"/>
      <protection locked="0"/>
    </xf>
    <xf numFmtId="0" fontId="3" fillId="4" borderId="1" xfId="0" applyFont="1" applyFill="1" applyBorder="1" applyAlignment="1" applyProtection="1">
      <alignment horizontal="left"/>
      <protection locked="0"/>
    </xf>
    <xf numFmtId="0" fontId="0" fillId="4" borderId="1" xfId="0" applyFill="1" applyBorder="1" applyAlignment="1" applyProtection="1">
      <alignment horizontal="left"/>
      <protection locked="0"/>
    </xf>
    <xf numFmtId="0" fontId="3" fillId="4" borderId="2" xfId="0" applyFont="1" applyFill="1" applyBorder="1" applyAlignment="1" applyProtection="1">
      <alignment horizontal="left"/>
      <protection locked="0"/>
    </xf>
    <xf numFmtId="0" fontId="3" fillId="4" borderId="4" xfId="0" applyFont="1" applyFill="1" applyBorder="1" applyAlignment="1" applyProtection="1">
      <alignment horizontal="left"/>
      <protection locked="0"/>
    </xf>
    <xf numFmtId="0" fontId="4" fillId="2" borderId="1" xfId="0" applyFont="1" applyFill="1" applyBorder="1"/>
    <xf numFmtId="0" fontId="1" fillId="2" borderId="1" xfId="0" applyFont="1" applyFill="1" applyBorder="1"/>
    <xf numFmtId="0" fontId="0" fillId="0" borderId="1" xfId="0" applyBorder="1"/>
    <xf numFmtId="0" fontId="3" fillId="3" borderId="1" xfId="0" applyFont="1" applyFill="1" applyBorder="1" applyAlignment="1">
      <alignment horizontal="left"/>
    </xf>
    <xf numFmtId="14" fontId="3" fillId="4" borderId="2" xfId="0" applyNumberFormat="1" applyFont="1" applyFill="1" applyBorder="1" applyAlignment="1" applyProtection="1">
      <alignment horizontal="left"/>
      <protection locked="0"/>
    </xf>
    <xf numFmtId="14" fontId="3" fillId="4" borderId="4" xfId="0" applyNumberFormat="1" applyFont="1" applyFill="1" applyBorder="1" applyAlignment="1" applyProtection="1">
      <alignment horizontal="left"/>
      <protection locked="0"/>
    </xf>
    <xf numFmtId="0" fontId="4" fillId="2" borderId="1" xfId="0" applyFont="1" applyFill="1" applyBorder="1" applyAlignment="1">
      <alignment horizontal="left"/>
    </xf>
    <xf numFmtId="0" fontId="3" fillId="3" borderId="2" xfId="0" applyFont="1" applyFill="1" applyBorder="1" applyAlignment="1">
      <alignment horizontal="left" vertical="top" wrapText="1"/>
    </xf>
    <xf numFmtId="0" fontId="3" fillId="3" borderId="3" xfId="0" applyFont="1" applyFill="1" applyBorder="1" applyAlignment="1">
      <alignment horizontal="left" vertical="top"/>
    </xf>
    <xf numFmtId="0" fontId="3" fillId="3" borderId="4" xfId="0" applyFont="1" applyFill="1" applyBorder="1" applyAlignment="1">
      <alignment horizontal="left" vertical="top"/>
    </xf>
    <xf numFmtId="0" fontId="1" fillId="0" borderId="8" xfId="0" applyFont="1" applyBorder="1" applyAlignment="1">
      <alignment horizontal="left" vertical="top"/>
    </xf>
    <xf numFmtId="0" fontId="1" fillId="0" borderId="11" xfId="0" applyFont="1" applyBorder="1" applyAlignment="1">
      <alignment horizontal="left" vertical="top"/>
    </xf>
    <xf numFmtId="0" fontId="1" fillId="0" borderId="6" xfId="0" applyFont="1" applyBorder="1" applyAlignment="1">
      <alignment horizontal="left" vertical="top"/>
    </xf>
    <xf numFmtId="0" fontId="0" fillId="0" borderId="2" xfId="0" applyBorder="1"/>
    <xf numFmtId="0" fontId="0" fillId="0" borderId="3" xfId="0" applyBorder="1"/>
    <xf numFmtId="0" fontId="0" fillId="0" borderId="4" xfId="0" applyBorder="1"/>
    <xf numFmtId="0" fontId="0" fillId="0" borderId="0" xfId="0"/>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16" xfId="0" applyBorder="1" applyAlignment="1">
      <alignment vertical="top" wrapText="1"/>
    </xf>
    <xf numFmtId="0" fontId="0" fillId="0" borderId="0" xfId="0" applyAlignment="1">
      <alignment vertical="top" wrapText="1"/>
    </xf>
    <xf numFmtId="0" fontId="0" fillId="0" borderId="15" xfId="0" applyBorder="1" applyAlignment="1">
      <alignment vertical="top" wrapText="1"/>
    </xf>
    <xf numFmtId="0" fontId="0" fillId="4" borderId="16" xfId="0" applyFill="1" applyBorder="1" applyAlignment="1">
      <alignment horizontal="left" vertical="top" wrapText="1"/>
    </xf>
    <xf numFmtId="0" fontId="0" fillId="4" borderId="0" xfId="0" applyFill="1" applyAlignment="1">
      <alignment horizontal="left" vertical="top" wrapText="1"/>
    </xf>
    <xf numFmtId="0" fontId="0" fillId="4" borderId="15" xfId="0" applyFill="1" applyBorder="1" applyAlignment="1">
      <alignment horizontal="left" vertical="top" wrapText="1"/>
    </xf>
    <xf numFmtId="0" fontId="0" fillId="12" borderId="16" xfId="0" applyFill="1" applyBorder="1" applyAlignment="1">
      <alignment horizontal="left" vertical="top" wrapText="1"/>
    </xf>
    <xf numFmtId="0" fontId="0" fillId="12" borderId="0" xfId="0" applyFill="1" applyAlignment="1">
      <alignment horizontal="left" vertical="top" wrapText="1"/>
    </xf>
    <xf numFmtId="0" fontId="0" fillId="12" borderId="15" xfId="0" applyFill="1" applyBorder="1" applyAlignment="1">
      <alignment horizontal="left" vertical="top" wrapText="1"/>
    </xf>
    <xf numFmtId="0" fontId="0" fillId="3" borderId="16" xfId="0" applyFill="1" applyBorder="1" applyAlignment="1">
      <alignment horizontal="left" vertical="top" wrapText="1"/>
    </xf>
    <xf numFmtId="0" fontId="0" fillId="3" borderId="0" xfId="0" applyFill="1" applyAlignment="1">
      <alignment horizontal="left" vertical="top" wrapText="1"/>
    </xf>
    <xf numFmtId="0" fontId="0" fillId="3" borderId="15" xfId="0" applyFill="1" applyBorder="1" applyAlignment="1">
      <alignment horizontal="left" vertical="top" wrapText="1"/>
    </xf>
    <xf numFmtId="0" fontId="1" fillId="0" borderId="1" xfId="0" applyFont="1" applyBorder="1" applyAlignment="1">
      <alignment horizontal="left" vertical="top"/>
    </xf>
    <xf numFmtId="0" fontId="1" fillId="0" borderId="2" xfId="0" applyFont="1"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xf>
    <xf numFmtId="0" fontId="0" fillId="0" borderId="0" xfId="0" applyAlignment="1">
      <alignment horizontal="left"/>
    </xf>
    <xf numFmtId="0" fontId="31" fillId="0" borderId="1" xfId="0" applyFont="1" applyBorder="1" applyAlignment="1">
      <alignment horizontal="left" wrapText="1"/>
    </xf>
    <xf numFmtId="0" fontId="0" fillId="0" borderId="1" xfId="0" applyBorder="1" applyAlignment="1">
      <alignment horizontal="left" vertical="top"/>
    </xf>
    <xf numFmtId="0" fontId="0" fillId="0" borderId="7" xfId="0" applyBorder="1" applyAlignment="1">
      <alignment horizontal="left" vertical="top" wrapText="1"/>
    </xf>
    <xf numFmtId="0" fontId="0" fillId="0" borderId="24" xfId="0" applyBorder="1" applyAlignment="1">
      <alignment horizontal="left" vertical="top" wrapText="1"/>
    </xf>
    <xf numFmtId="0" fontId="0" fillId="0" borderId="5" xfId="0" applyBorder="1" applyAlignment="1">
      <alignment horizontal="left" vertical="top" wrapText="1"/>
    </xf>
    <xf numFmtId="0" fontId="0" fillId="13" borderId="16" xfId="0" applyFill="1" applyBorder="1" applyAlignment="1">
      <alignment horizontal="left" vertical="top" wrapText="1"/>
    </xf>
    <xf numFmtId="0" fontId="0" fillId="13" borderId="0" xfId="0" applyFill="1" applyAlignment="1">
      <alignment horizontal="left" vertical="top" wrapText="1"/>
    </xf>
    <xf numFmtId="0" fontId="0" fillId="13" borderId="15" xfId="0" applyFill="1" applyBorder="1" applyAlignment="1">
      <alignment horizontal="left" vertical="top" wrapText="1"/>
    </xf>
    <xf numFmtId="0" fontId="1" fillId="0" borderId="12" xfId="0" applyFont="1" applyBorder="1" applyAlignment="1">
      <alignment horizontal="left" vertical="top"/>
    </xf>
    <xf numFmtId="0" fontId="1" fillId="0" borderId="16" xfId="0" applyFont="1" applyBorder="1" applyAlignment="1">
      <alignment horizontal="left" vertical="top"/>
    </xf>
    <xf numFmtId="0" fontId="1" fillId="0" borderId="7" xfId="0" applyFont="1" applyBorder="1" applyAlignment="1">
      <alignment horizontal="left" vertical="top"/>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16" xfId="0" applyBorder="1" applyAlignment="1">
      <alignment horizontal="left" vertical="top" wrapText="1"/>
    </xf>
    <xf numFmtId="0" fontId="0" fillId="0" borderId="0" xfId="0" applyAlignment="1">
      <alignment horizontal="left" vertical="top" wrapText="1"/>
    </xf>
    <xf numFmtId="0" fontId="0" fillId="0" borderId="15" xfId="0"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left"/>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4" borderId="14" xfId="0" applyFill="1" applyBorder="1" applyAlignment="1">
      <alignment horizontal="left" vertical="top" wrapText="1"/>
    </xf>
    <xf numFmtId="0" fontId="0" fillId="0" borderId="23" xfId="0" applyBorder="1" applyAlignment="1">
      <alignment horizontal="center"/>
    </xf>
    <xf numFmtId="0" fontId="3" fillId="4" borderId="42" xfId="0" applyFont="1" applyFill="1" applyBorder="1" applyAlignment="1" applyProtection="1">
      <alignment horizontal="left" vertical="top" wrapText="1"/>
      <protection locked="0"/>
    </xf>
    <xf numFmtId="0" fontId="3" fillId="4" borderId="43" xfId="0" applyFont="1" applyFill="1" applyBorder="1" applyAlignment="1" applyProtection="1">
      <alignment horizontal="left" vertical="top" wrapText="1"/>
      <protection locked="0"/>
    </xf>
    <xf numFmtId="0" fontId="3" fillId="4" borderId="44" xfId="0" applyFont="1" applyFill="1" applyBorder="1" applyAlignment="1" applyProtection="1">
      <alignment horizontal="left" vertical="top" wrapText="1"/>
      <protection locked="0"/>
    </xf>
    <xf numFmtId="0" fontId="0" fillId="3" borderId="1" xfId="0" applyFill="1" applyBorder="1" applyAlignment="1">
      <alignment horizontal="left"/>
    </xf>
    <xf numFmtId="0" fontId="0" fillId="3" borderId="2" xfId="0" applyFill="1" applyBorder="1" applyAlignment="1">
      <alignment horizontal="left"/>
    </xf>
    <xf numFmtId="0" fontId="0" fillId="3" borderId="4" xfId="0" applyFill="1" applyBorder="1" applyAlignment="1">
      <alignment horizontal="left"/>
    </xf>
    <xf numFmtId="0" fontId="1" fillId="9" borderId="37" xfId="0" applyFont="1" applyFill="1" applyBorder="1" applyAlignment="1">
      <alignment horizontal="left" vertical="top" wrapText="1"/>
    </xf>
    <xf numFmtId="0" fontId="1" fillId="9" borderId="38" xfId="0" applyFont="1" applyFill="1" applyBorder="1" applyAlignment="1">
      <alignment horizontal="left" vertical="top" wrapText="1"/>
    </xf>
    <xf numFmtId="0" fontId="1" fillId="9" borderId="39" xfId="0" applyFont="1" applyFill="1" applyBorder="1" applyAlignment="1">
      <alignment horizontal="left" vertical="top" wrapText="1"/>
    </xf>
    <xf numFmtId="0" fontId="17" fillId="4" borderId="31" xfId="0" applyFont="1" applyFill="1" applyBorder="1" applyAlignment="1">
      <alignment horizontal="center"/>
    </xf>
    <xf numFmtId="0" fontId="17" fillId="4" borderId="0" xfId="0" applyFont="1" applyFill="1" applyAlignment="1">
      <alignment horizontal="center"/>
    </xf>
    <xf numFmtId="0" fontId="17" fillId="4" borderId="32" xfId="0" applyFont="1" applyFill="1" applyBorder="1" applyAlignment="1">
      <alignment horizontal="center"/>
    </xf>
    <xf numFmtId="0" fontId="9" fillId="4" borderId="31" xfId="0" applyFont="1" applyFill="1" applyBorder="1" applyAlignment="1">
      <alignment horizontal="center"/>
    </xf>
    <xf numFmtId="0" fontId="9" fillId="4" borderId="0" xfId="0" applyFont="1" applyFill="1" applyAlignment="1">
      <alignment horizontal="center"/>
    </xf>
    <xf numFmtId="0" fontId="9" fillId="4" borderId="32" xfId="0" applyFont="1" applyFill="1" applyBorder="1" applyAlignment="1">
      <alignment horizontal="center"/>
    </xf>
    <xf numFmtId="0" fontId="17" fillId="4" borderId="33" xfId="0" applyFont="1" applyFill="1" applyBorder="1" applyAlignment="1">
      <alignment horizontal="center"/>
    </xf>
    <xf numFmtId="0" fontId="17" fillId="4" borderId="34" xfId="0" applyFont="1" applyFill="1" applyBorder="1" applyAlignment="1">
      <alignment horizontal="center"/>
    </xf>
    <xf numFmtId="0" fontId="17" fillId="4" borderId="35" xfId="0" applyFont="1" applyFill="1" applyBorder="1" applyAlignment="1">
      <alignment horizontal="center"/>
    </xf>
    <xf numFmtId="0" fontId="1" fillId="9" borderId="8" xfId="0" applyFont="1" applyFill="1" applyBorder="1"/>
    <xf numFmtId="0" fontId="0" fillId="9" borderId="8" xfId="0" applyFill="1" applyBorder="1"/>
    <xf numFmtId="0" fontId="3" fillId="4" borderId="45" xfId="0" applyFont="1" applyFill="1" applyBorder="1" applyAlignment="1" applyProtection="1">
      <alignment horizontal="left" vertical="top" wrapText="1"/>
      <protection locked="0"/>
    </xf>
    <xf numFmtId="14" fontId="3" fillId="4" borderId="12" xfId="0" applyNumberFormat="1" applyFont="1" applyFill="1" applyBorder="1" applyAlignment="1" applyProtection="1">
      <alignment horizontal="left"/>
      <protection locked="0"/>
    </xf>
    <xf numFmtId="14" fontId="3" fillId="4" borderId="14" xfId="0" applyNumberFormat="1" applyFont="1" applyFill="1" applyBorder="1" applyAlignment="1" applyProtection="1">
      <alignment horizontal="left"/>
      <protection locked="0"/>
    </xf>
    <xf numFmtId="14" fontId="3" fillId="4" borderId="46" xfId="0" applyNumberFormat="1" applyFont="1" applyFill="1" applyBorder="1" applyAlignment="1" applyProtection="1">
      <alignment horizontal="left"/>
      <protection locked="0"/>
    </xf>
    <xf numFmtId="14" fontId="3" fillId="4" borderId="47" xfId="0" applyNumberFormat="1" applyFont="1" applyFill="1" applyBorder="1" applyAlignment="1" applyProtection="1">
      <alignment horizontal="left"/>
      <protection locked="0"/>
    </xf>
    <xf numFmtId="0" fontId="4" fillId="0" borderId="45" xfId="0" applyFont="1" applyBorder="1" applyAlignment="1">
      <alignment horizontal="center"/>
    </xf>
    <xf numFmtId="0" fontId="3" fillId="0" borderId="29" xfId="0" applyFont="1" applyBorder="1" applyAlignment="1">
      <alignment horizontal="center"/>
    </xf>
    <xf numFmtId="0" fontId="3" fillId="0" borderId="24" xfId="0" applyFont="1" applyBorder="1" applyAlignment="1">
      <alignment horizontal="center"/>
    </xf>
    <xf numFmtId="0" fontId="3" fillId="0" borderId="36" xfId="0" applyFont="1" applyBorder="1" applyAlignment="1">
      <alignment horizontal="center"/>
    </xf>
    <xf numFmtId="0" fontId="3" fillId="4" borderId="7" xfId="0" applyFont="1" applyFill="1" applyBorder="1" applyAlignment="1" applyProtection="1">
      <alignment horizontal="left"/>
      <protection locked="0"/>
    </xf>
    <xf numFmtId="0" fontId="3" fillId="4" borderId="5" xfId="0" applyFont="1" applyFill="1" applyBorder="1" applyAlignment="1" applyProtection="1">
      <alignment horizontal="left"/>
      <protection locked="0"/>
    </xf>
    <xf numFmtId="0" fontId="9" fillId="4" borderId="2" xfId="0" applyFont="1" applyFill="1" applyBorder="1" applyAlignment="1" applyProtection="1">
      <alignment horizontal="left" vertical="top" wrapText="1"/>
      <protection locked="0"/>
    </xf>
    <xf numFmtId="0" fontId="9" fillId="4" borderId="4" xfId="0" applyFont="1" applyFill="1" applyBorder="1" applyAlignment="1" applyProtection="1">
      <alignment horizontal="left" vertical="top" wrapText="1"/>
      <protection locked="0"/>
    </xf>
    <xf numFmtId="0" fontId="24" fillId="9" borderId="27" xfId="0" applyFont="1" applyFill="1" applyBorder="1" applyAlignment="1">
      <alignment horizontal="left"/>
    </xf>
    <xf numFmtId="0" fontId="24" fillId="9" borderId="26" xfId="0" applyFont="1" applyFill="1" applyBorder="1" applyAlignment="1">
      <alignment horizontal="left"/>
    </xf>
    <xf numFmtId="0" fontId="17" fillId="4" borderId="28" xfId="0" applyFont="1" applyFill="1" applyBorder="1" applyAlignment="1">
      <alignment horizontal="center"/>
    </xf>
    <xf numFmtId="0" fontId="17" fillId="4" borderId="29" xfId="0" applyFont="1" applyFill="1" applyBorder="1" applyAlignment="1">
      <alignment horizontal="center"/>
    </xf>
    <xf numFmtId="0" fontId="17" fillId="4" borderId="30" xfId="0" applyFont="1" applyFill="1" applyBorder="1" applyAlignment="1">
      <alignment horizontal="center"/>
    </xf>
    <xf numFmtId="0" fontId="1" fillId="2" borderId="16" xfId="0" applyFont="1" applyFill="1" applyBorder="1" applyAlignment="1">
      <alignment horizontal="left"/>
    </xf>
    <xf numFmtId="0" fontId="1" fillId="2" borderId="0" xfId="0" applyFont="1" applyFill="1" applyAlignment="1">
      <alignment horizontal="left"/>
    </xf>
    <xf numFmtId="0" fontId="3" fillId="3" borderId="0" xfId="0" applyFont="1" applyFill="1" applyAlignment="1">
      <alignment horizontal="left"/>
    </xf>
    <xf numFmtId="0" fontId="14" fillId="4" borderId="0" xfId="0" applyFont="1" applyFill="1" applyAlignment="1">
      <alignment horizontal="center"/>
    </xf>
    <xf numFmtId="0" fontId="3" fillId="3" borderId="2" xfId="0" applyFont="1" applyFill="1" applyBorder="1" applyAlignment="1">
      <alignment horizontal="left"/>
    </xf>
    <xf numFmtId="0" fontId="3" fillId="3" borderId="4" xfId="0" applyFont="1" applyFill="1" applyBorder="1" applyAlignment="1">
      <alignment horizontal="left"/>
    </xf>
    <xf numFmtId="0" fontId="17" fillId="9" borderId="2" xfId="0" applyFont="1" applyFill="1" applyBorder="1" applyAlignment="1">
      <alignment horizontal="left"/>
    </xf>
    <xf numFmtId="0" fontId="17" fillId="9" borderId="3" xfId="0" applyFont="1" applyFill="1" applyBorder="1" applyAlignment="1">
      <alignment horizontal="left"/>
    </xf>
    <xf numFmtId="0" fontId="17" fillId="9" borderId="4" xfId="0" applyFont="1" applyFill="1" applyBorder="1" applyAlignment="1">
      <alignment horizontal="left"/>
    </xf>
    <xf numFmtId="0" fontId="4" fillId="9" borderId="1" xfId="0" applyFont="1" applyFill="1" applyBorder="1"/>
    <xf numFmtId="0" fontId="1" fillId="9" borderId="1" xfId="0" applyFont="1" applyFill="1" applyBorder="1"/>
    <xf numFmtId="0" fontId="0" fillId="9" borderId="1" xfId="0" applyFill="1" applyBorder="1"/>
    <xf numFmtId="0" fontId="10" fillId="4" borderId="0" xfId="0" applyFont="1" applyFill="1" applyAlignment="1">
      <alignment horizontal="center"/>
    </xf>
    <xf numFmtId="0" fontId="17" fillId="4" borderId="13" xfId="0" applyFont="1" applyFill="1" applyBorder="1" applyAlignment="1">
      <alignment horizontal="center"/>
    </xf>
    <xf numFmtId="0" fontId="3" fillId="4" borderId="1" xfId="0" applyFont="1" applyFill="1" applyBorder="1" applyAlignment="1" applyProtection="1">
      <alignment horizontal="left" vertical="top" wrapText="1"/>
      <protection locked="0"/>
    </xf>
    <xf numFmtId="0" fontId="4" fillId="0" borderId="3" xfId="0" applyFont="1" applyBorder="1" applyAlignment="1">
      <alignment horizontal="center"/>
    </xf>
    <xf numFmtId="0" fontId="4" fillId="2" borderId="2" xfId="0" applyFont="1" applyFill="1" applyBorder="1" applyAlignment="1">
      <alignment horizontal="left"/>
    </xf>
    <xf numFmtId="0" fontId="4" fillId="2" borderId="3" xfId="0" applyFont="1" applyFill="1" applyBorder="1" applyAlignment="1">
      <alignment horizontal="left"/>
    </xf>
    <xf numFmtId="0" fontId="4" fillId="2" borderId="4" xfId="0" applyFont="1" applyFill="1" applyBorder="1" applyAlignment="1">
      <alignment horizontal="left"/>
    </xf>
    <xf numFmtId="0" fontId="0" fillId="3" borderId="2" xfId="0" applyFill="1" applyBorder="1" applyAlignment="1">
      <alignment horizontal="left" wrapText="1"/>
    </xf>
    <xf numFmtId="0" fontId="0" fillId="3" borderId="3" xfId="0" applyFill="1" applyBorder="1" applyAlignment="1">
      <alignment horizontal="left" wrapText="1"/>
    </xf>
    <xf numFmtId="0" fontId="0" fillId="3" borderId="4" xfId="0" applyFill="1" applyBorder="1" applyAlignment="1">
      <alignment horizontal="left" wrapText="1"/>
    </xf>
    <xf numFmtId="0" fontId="3" fillId="3" borderId="3" xfId="0" applyFont="1" applyFill="1" applyBorder="1" applyAlignment="1">
      <alignment horizontal="left"/>
    </xf>
    <xf numFmtId="0" fontId="15" fillId="10" borderId="0" xfId="0" applyFont="1" applyFill="1" applyAlignment="1">
      <alignment horizontal="center" vertical="center" wrapText="1"/>
    </xf>
  </cellXfs>
  <cellStyles count="2">
    <cellStyle name="Hyperlink" xfId="1" builtinId="8"/>
    <cellStyle name="Normal" xfId="0" builtinId="0"/>
  </cellStyles>
  <dxfs count="53">
    <dxf>
      <font>
        <strike val="0"/>
        <outline val="0"/>
        <shadow val="0"/>
        <u val="none"/>
        <vertAlign val="baseline"/>
        <sz val="9"/>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rgb="FF000000"/>
        <name val="Calibri"/>
        <family val="2"/>
        <scheme val="minor"/>
      </font>
      <alignment horizontal="left" vertical="bottom" textRotation="0" wrapText="1" indent="0" justifyLastLine="0" shrinkToFit="0" readingOrder="0"/>
    </dxf>
    <dxf>
      <alignment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9" tint="0.7999816888943144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ill>
        <patternFill patternType="solid">
          <fgColor indexed="64"/>
          <bgColor theme="9" tint="0.79998168889431442"/>
        </patternFill>
      </fill>
    </dxf>
    <dxf>
      <fill>
        <patternFill patternType="solid">
          <fgColor indexed="64"/>
          <bgColor theme="9" tint="0.79998168889431442"/>
        </patternFill>
      </fill>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0"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0" indent="0" justifyLastLine="0" shrinkToFit="0" readingOrder="0"/>
      <border diagonalUp="0" diagonalDown="0" outline="0">
        <left style="thin">
          <color auto="1"/>
        </left>
        <right style="thin">
          <color auto="1"/>
        </right>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0" indent="0" justifyLastLine="0" shrinkToFit="0" readingOrder="0"/>
      <border diagonalUp="0" diagonalDown="0" outline="0">
        <left style="thin">
          <color auto="1"/>
        </left>
        <right style="thin">
          <color auto="1"/>
        </right>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1" indent="0" justifyLastLine="0" shrinkToFit="0" readingOrder="0"/>
      <border diagonalUp="0" diagonalDown="0" outline="0">
        <left style="thin">
          <color auto="1"/>
        </left>
        <right style="thin">
          <color auto="1"/>
        </right>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ill>
        <patternFill patternType="solid">
          <fgColor indexed="64"/>
          <bgColor theme="9" tint="0.79998168889431442"/>
        </patternFill>
      </fill>
    </dxf>
    <dxf>
      <border outline="0">
        <bottom style="thin">
          <color auto="1"/>
        </bottom>
      </border>
    </dxf>
    <dxf>
      <font>
        <b/>
        <i val="0"/>
        <strike val="0"/>
        <condense val="0"/>
        <extend val="0"/>
        <outline val="0"/>
        <shadow val="0"/>
        <u val="none"/>
        <vertAlign val="baseline"/>
        <sz val="10"/>
        <color theme="1"/>
        <name val="Calibri"/>
        <family val="2"/>
        <scheme val="minor"/>
      </font>
      <fill>
        <patternFill patternType="solid">
          <fgColor indexed="64"/>
          <bgColor theme="0" tint="-0.249977111117893"/>
        </patternFill>
      </fill>
      <border diagonalUp="0" diagonalDown="0" outline="0">
        <left style="thin">
          <color auto="1"/>
        </left>
        <right style="thin">
          <color auto="1"/>
        </right>
        <top/>
        <bottom/>
      </border>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9" tint="0.7999816888943144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border diagonalUp="0" diagonalDown="0">
        <left style="thin">
          <color auto="1"/>
        </left>
        <right style="thin">
          <color auto="1"/>
        </right>
        <top style="thin">
          <color auto="1"/>
        </top>
        <bottom style="thin">
          <color auto="1"/>
        </bottom>
        <vertical/>
        <horizontal/>
      </border>
    </dxf>
    <dxf>
      <fill>
        <patternFill patternType="solid">
          <fgColor indexed="64"/>
          <bgColor theme="9" tint="0.79998168889431442"/>
        </patternFill>
      </fill>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0"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0" indent="0" justifyLastLine="0" shrinkToFit="0" readingOrder="0"/>
      <border diagonalUp="0" diagonalDown="0" outline="0">
        <left style="thin">
          <color auto="1"/>
        </left>
        <right style="thin">
          <color auto="1"/>
        </right>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0" indent="0" justifyLastLine="0" shrinkToFit="0" readingOrder="0"/>
      <border diagonalUp="0" diagonalDown="0" outline="0">
        <left style="thin">
          <color auto="1"/>
        </left>
        <right style="thin">
          <color auto="1"/>
        </right>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left" vertical="top" textRotation="0" wrapText="1" indent="0" justifyLastLine="0" shrinkToFit="0" readingOrder="0"/>
      <border diagonalUp="0" diagonalDown="0" outline="0">
        <left style="thin">
          <color auto="1"/>
        </left>
        <right style="thin">
          <color auto="1"/>
        </right>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ill>
        <patternFill patternType="solid">
          <fgColor indexed="64"/>
          <bgColor theme="9" tint="0.79998168889431442"/>
        </patternFill>
      </fill>
    </dxf>
    <dxf>
      <border outline="0">
        <bottom style="thin">
          <color auto="1"/>
        </bottom>
      </border>
    </dxf>
    <dxf>
      <font>
        <b/>
        <i val="0"/>
        <strike val="0"/>
        <condense val="0"/>
        <extend val="0"/>
        <outline val="0"/>
        <shadow val="0"/>
        <u val="none"/>
        <vertAlign val="baseline"/>
        <sz val="10"/>
        <color theme="1"/>
        <name val="Calibri"/>
        <family val="2"/>
        <scheme val="minor"/>
      </font>
      <fill>
        <patternFill patternType="solid">
          <fgColor indexed="64"/>
          <bgColor theme="0" tint="-0.249977111117893"/>
        </patternFill>
      </fill>
      <border diagonalUp="0" diagonalDown="0" outline="0">
        <left style="thin">
          <color auto="1"/>
        </left>
        <right style="thin">
          <color auto="1"/>
        </right>
        <top/>
        <bottom/>
      </border>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4" tint="0.79998168889431442"/>
        </patternFill>
      </fill>
      <alignment horizontal="center" vertical="top" textRotation="0" wrapText="0" indent="0" justifyLastLine="0" shrinkToFit="0" readingOrder="0"/>
      <border diagonalUp="0" diagonalDown="0">
        <left style="thin">
          <color auto="1"/>
        </left>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4" tint="0.79998168889431442"/>
        </patternFill>
      </fill>
      <alignment horizontal="left" vertical="top" textRotation="0" wrapText="0"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4" tint="0.79998168889431442"/>
        </patternFill>
      </fill>
      <alignment horizontal="left"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4" tint="0.79998168889431442"/>
        </patternFill>
      </fill>
      <alignment horizontal="left"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4" tint="0.79998168889431442"/>
        </patternFill>
      </fill>
      <alignment horizontal="left"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1"/>
        <name val="Calibri"/>
        <family val="2"/>
        <scheme val="minor"/>
      </font>
      <fill>
        <patternFill patternType="solid">
          <fgColor indexed="64"/>
          <bgColor theme="0" tint="-0.249977111117893"/>
        </patternFill>
      </fill>
      <border diagonalUp="0" diagonalDown="0" outline="0">
        <left style="thin">
          <color auto="1"/>
        </left>
        <right style="thin">
          <color auto="1"/>
        </right>
        <top/>
        <bottom/>
      </border>
    </dxf>
    <dxf>
      <numFmt numFmtId="0" formatCode="General"/>
    </dxf>
    <dxf>
      <numFmt numFmtId="0" formatCode="General"/>
    </dxf>
    <dxf>
      <numFmt numFmtId="0" formatCode="General"/>
    </dxf>
  </dxfs>
  <tableStyles count="0" defaultTableStyle="TableStyleMedium2" defaultPivotStyle="PivotStyleLight16"/>
  <colors>
    <mruColors>
      <color rgb="FFCD63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381000</xdr:colOff>
          <xdr:row>29</xdr:row>
          <xdr:rowOff>142875</xdr:rowOff>
        </xdr:from>
        <xdr:to>
          <xdr:col>2</xdr:col>
          <xdr:colOff>209550</xdr:colOff>
          <xdr:row>36</xdr:row>
          <xdr:rowOff>133350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2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Fill the data</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3524250</xdr:colOff>
          <xdr:row>29</xdr:row>
          <xdr:rowOff>95250</xdr:rowOff>
        </xdr:from>
        <xdr:to>
          <xdr:col>5</xdr:col>
          <xdr:colOff>285750</xdr:colOff>
          <xdr:row>36</xdr:row>
          <xdr:rowOff>76200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200-000002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the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43</xdr:row>
          <xdr:rowOff>152400</xdr:rowOff>
        </xdr:from>
        <xdr:to>
          <xdr:col>1</xdr:col>
          <xdr:colOff>866775</xdr:colOff>
          <xdr:row>48</xdr:row>
          <xdr:rowOff>114300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200-000003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29</xdr:row>
          <xdr:rowOff>47625</xdr:rowOff>
        </xdr:from>
        <xdr:to>
          <xdr:col>10</xdr:col>
          <xdr:colOff>47625</xdr:colOff>
          <xdr:row>35</xdr:row>
          <xdr:rowOff>161925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200-000004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Lesson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466725</xdr:colOff>
          <xdr:row>43</xdr:row>
          <xdr:rowOff>161925</xdr:rowOff>
        </xdr:from>
        <xdr:to>
          <xdr:col>2</xdr:col>
          <xdr:colOff>3152775</xdr:colOff>
          <xdr:row>48</xdr:row>
          <xdr:rowOff>85725</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200-000005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Align the Course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3581400</xdr:colOff>
          <xdr:row>43</xdr:row>
          <xdr:rowOff>152400</xdr:rowOff>
        </xdr:from>
        <xdr:to>
          <xdr:col>4</xdr:col>
          <xdr:colOff>381000</xdr:colOff>
          <xdr:row>48</xdr:row>
          <xdr:rowOff>104775</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00000000-0008-0000-0200-000006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Align Course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29</xdr:row>
          <xdr:rowOff>47625</xdr:rowOff>
        </xdr:from>
        <xdr:to>
          <xdr:col>14</xdr:col>
          <xdr:colOff>304800</xdr:colOff>
          <xdr:row>36</xdr:row>
          <xdr:rowOff>0</xdr:rowOff>
        </xdr:to>
        <xdr:sp macro="" textlink="">
          <xdr:nvSpPr>
            <xdr:cNvPr id="31751" name="Button 7" descr="Add Lesson Title" hidden="1">
              <a:extLst>
                <a:ext uri="{63B3BB69-23CF-44E3-9099-C40C66FF867C}">
                  <a14:compatExt spid="_x0000_s31751"/>
                </a:ext>
                <a:ext uri="{FF2B5EF4-FFF2-40B4-BE49-F238E27FC236}">
                  <a16:creationId xmlns:a16="http://schemas.microsoft.com/office/drawing/2014/main" id="{00000000-0008-0000-0200-000007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Lesson Title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29</xdr:row>
          <xdr:rowOff>95250</xdr:rowOff>
        </xdr:from>
        <xdr:to>
          <xdr:col>2</xdr:col>
          <xdr:colOff>2800350</xdr:colOff>
          <xdr:row>36</xdr:row>
          <xdr:rowOff>57150</xdr:rowOff>
        </xdr:to>
        <xdr:sp macro="" textlink="">
          <xdr:nvSpPr>
            <xdr:cNvPr id="31752" name="Button 8" descr="Reset_Exporter" hidden="1">
              <a:extLst>
                <a:ext uri="{63B3BB69-23CF-44E3-9099-C40C66FF867C}">
                  <a14:compatExt spid="_x0000_s31752"/>
                </a:ext>
                <a:ext uri="{FF2B5EF4-FFF2-40B4-BE49-F238E27FC236}">
                  <a16:creationId xmlns:a16="http://schemas.microsoft.com/office/drawing/2014/main" id="{00000000-0008-0000-0200-000008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exporter</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581025</xdr:colOff>
      <xdr:row>94</xdr:row>
      <xdr:rowOff>28574</xdr:rowOff>
    </xdr:from>
    <xdr:to>
      <xdr:col>2</xdr:col>
      <xdr:colOff>4533901</xdr:colOff>
      <xdr:row>146</xdr:row>
      <xdr:rowOff>152399</xdr:rowOff>
    </xdr:to>
    <xdr:sp macro="" textlink="">
      <xdr:nvSpPr>
        <xdr:cNvPr id="2" name="Rectangle: Rounded Corners 1">
          <a:extLst>
            <a:ext uri="{FF2B5EF4-FFF2-40B4-BE49-F238E27FC236}">
              <a16:creationId xmlns:a16="http://schemas.microsoft.com/office/drawing/2014/main" id="{738D8712-BFA0-43C2-973E-724BF7C4F115}"/>
            </a:ext>
          </a:extLst>
        </xdr:cNvPr>
        <xdr:cNvSpPr/>
      </xdr:nvSpPr>
      <xdr:spPr>
        <a:xfrm>
          <a:off x="581025" y="15268574"/>
          <a:ext cx="7553326" cy="8543925"/>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400" b="1" i="1" u="sng"/>
            <a:t>How to Create Course Descriptions in HTML</a:t>
          </a:r>
          <a:r>
            <a:rPr lang="en-US" sz="1400" b="1" i="1" u="sng" baseline="0"/>
            <a:t> ready to Upload to Portal</a:t>
          </a:r>
          <a:endParaRPr lang="en-US" sz="1400" b="1" i="1" u="sng"/>
        </a:p>
        <a:p>
          <a:pPr algn="l"/>
          <a:endParaRPr lang="en-US" sz="1400" b="1" i="1" u="sng"/>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1. If you have a tab at the bottom of your sheet called Exporter, Click the Reset Exporter button, if not, go to step 2.</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1. Click the Prepare for Script Button.</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2. Click Save the CSV.</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3. Go to the location where you saved the script file titled "Lessons_Script_Main_v3" and double click on it to run it.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4. Copy and paste the file path location of the CSV document that was just saved. It should be called Exporter.</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5. Press Enter</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6. A new .txt file will be saved to the same folder where this information is stored, it will be called Lesson_Description_Generated.txt. Open it and you will find HTML coded lesson descriptions from Epic, Requirement, and Feature information from DevOps. Please edit it as you see fit before posting to the portal.</a:t>
          </a: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400" b="0" i="0" u="none" baseline="0"/>
        </a:p>
        <a:p>
          <a:pPr algn="l"/>
          <a:endParaRPr lang="en-US" sz="1100" b="1" baseline="0"/>
        </a:p>
        <a:p>
          <a:pPr algn="l"/>
          <a:endParaRPr lang="en-US" sz="1100" b="1"/>
        </a:p>
      </xdr:txBody>
    </xdr:sp>
    <xdr:clientData/>
  </xdr:twoCellAnchor>
  <xdr:twoCellAnchor>
    <xdr:from>
      <xdr:col>4</xdr:col>
      <xdr:colOff>76200</xdr:colOff>
      <xdr:row>75</xdr:row>
      <xdr:rowOff>57148</xdr:rowOff>
    </xdr:from>
    <xdr:to>
      <xdr:col>14</xdr:col>
      <xdr:colOff>314326</xdr:colOff>
      <xdr:row>109</xdr:row>
      <xdr:rowOff>38100</xdr:rowOff>
    </xdr:to>
    <xdr:sp macro="" textlink="">
      <xdr:nvSpPr>
        <xdr:cNvPr id="3" name="Rectangle: Rounded Corners 2">
          <a:extLst>
            <a:ext uri="{FF2B5EF4-FFF2-40B4-BE49-F238E27FC236}">
              <a16:creationId xmlns:a16="http://schemas.microsoft.com/office/drawing/2014/main" id="{80A1920F-D2FC-4B77-BDF3-F59E903F605B}"/>
            </a:ext>
          </a:extLst>
        </xdr:cNvPr>
        <xdr:cNvSpPr/>
      </xdr:nvSpPr>
      <xdr:spPr>
        <a:xfrm>
          <a:off x="8877300" y="12220573"/>
          <a:ext cx="6334126" cy="5486402"/>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i="1" u="sng"/>
            <a:t>How to Import Information from DevOps into the Course Design Worksheet</a:t>
          </a:r>
        </a:p>
        <a:p>
          <a:pPr algn="l"/>
          <a:endParaRPr lang="en-US" sz="1400" b="1" i="1" u="sng"/>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1. Create a Query in DevOps that contains your course and lesson structure.</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2. Hit the three dots in the top and select Export to CSV.</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3. Save the CSV to a location.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4. Copy the filepath location of the CSV file and paste it in Cell A 43.</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5. Click the Update The Data Button</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6. Click Align the Course Data, this fills out the Align Your Project tab</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1" u="sng"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1" u="sng"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1" u="sng"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1" u="sng"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u="none" baseline="0">
              <a:solidFill>
                <a:schemeClr val="lt1"/>
              </a:solidFill>
              <a:effectLst/>
              <a:latin typeface="+mn-lt"/>
              <a:ea typeface="+mn-ea"/>
              <a:cs typeface="+mn-cs"/>
            </a:rPr>
            <a:t>7. Click the Align Course Structure Button</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u="none" baseline="0">
              <a:solidFill>
                <a:schemeClr val="lt1"/>
              </a:solidFill>
              <a:effectLst/>
              <a:latin typeface="+mn-lt"/>
              <a:ea typeface="+mn-ea"/>
              <a:cs typeface="+mn-cs"/>
            </a:rPr>
            <a:t>8. Click Add Lesson Number</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400" b="0" i="0" u="none" baseline="0"/>
        </a:p>
        <a:p>
          <a:pPr algn="l"/>
          <a:endParaRPr lang="en-US" sz="1100" b="1" baseline="0"/>
        </a:p>
        <a:p>
          <a:pPr algn="l"/>
          <a:endParaRPr lang="en-US" sz="1100" b="1"/>
        </a:p>
      </xdr:txBody>
    </xdr:sp>
    <xdr:clientData/>
  </xdr:twoCellAnchor>
  <mc:AlternateContent xmlns:mc="http://schemas.openxmlformats.org/markup-compatibility/2006">
    <mc:Choice xmlns:a14="http://schemas.microsoft.com/office/drawing/2010/main" Requires="a14">
      <xdr:twoCellAnchor editAs="oneCell">
        <xdr:from>
          <xdr:col>6</xdr:col>
          <xdr:colOff>371475</xdr:colOff>
          <xdr:row>40</xdr:row>
          <xdr:rowOff>676275</xdr:rowOff>
        </xdr:from>
        <xdr:to>
          <xdr:col>8</xdr:col>
          <xdr:colOff>152400</xdr:colOff>
          <xdr:row>40</xdr:row>
          <xdr:rowOff>990600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900-000001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Fill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40</xdr:row>
          <xdr:rowOff>685800</xdr:rowOff>
        </xdr:from>
        <xdr:to>
          <xdr:col>10</xdr:col>
          <xdr:colOff>133350</xdr:colOff>
          <xdr:row>40</xdr:row>
          <xdr:rowOff>981075</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900-000002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the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85</xdr:row>
          <xdr:rowOff>19050</xdr:rowOff>
        </xdr:from>
        <xdr:to>
          <xdr:col>7</xdr:col>
          <xdr:colOff>133350</xdr:colOff>
          <xdr:row>88</xdr:row>
          <xdr:rowOff>85725</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0900-000003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590550</xdr:colOff>
          <xdr:row>102</xdr:row>
          <xdr:rowOff>19050</xdr:rowOff>
        </xdr:from>
        <xdr:to>
          <xdr:col>7</xdr:col>
          <xdr:colOff>247650</xdr:colOff>
          <xdr:row>106</xdr:row>
          <xdr:rowOff>38100</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0900-000004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Lesson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90</xdr:row>
          <xdr:rowOff>95250</xdr:rowOff>
        </xdr:from>
        <xdr:to>
          <xdr:col>7</xdr:col>
          <xdr:colOff>581025</xdr:colOff>
          <xdr:row>93</xdr:row>
          <xdr:rowOff>123825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0900-000005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Align the Course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609600</xdr:colOff>
          <xdr:row>96</xdr:row>
          <xdr:rowOff>0</xdr:rowOff>
        </xdr:from>
        <xdr:to>
          <xdr:col>7</xdr:col>
          <xdr:colOff>142875</xdr:colOff>
          <xdr:row>99</xdr:row>
          <xdr:rowOff>57150</xdr:rowOff>
        </xdr:to>
        <xdr:sp macro="" textlink="">
          <xdr:nvSpPr>
            <xdr:cNvPr id="68614" name="Button 6" hidden="1">
              <a:extLst>
                <a:ext uri="{63B3BB69-23CF-44E3-9099-C40C66FF867C}">
                  <a14:compatExt spid="_x0000_s68614"/>
                </a:ext>
                <a:ext uri="{FF2B5EF4-FFF2-40B4-BE49-F238E27FC236}">
                  <a16:creationId xmlns:a16="http://schemas.microsoft.com/office/drawing/2014/main" id="{00000000-0008-0000-0900-000006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Align Course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438150</xdr:colOff>
          <xdr:row>67</xdr:row>
          <xdr:rowOff>123825</xdr:rowOff>
        </xdr:from>
        <xdr:to>
          <xdr:col>1</xdr:col>
          <xdr:colOff>247650</xdr:colOff>
          <xdr:row>70</xdr:row>
          <xdr:rowOff>9525</xdr:rowOff>
        </xdr:to>
        <xdr:sp macro="" textlink="">
          <xdr:nvSpPr>
            <xdr:cNvPr id="68615" name="Button 7" descr="Reset_Exporter" hidden="1">
              <a:extLst>
                <a:ext uri="{63B3BB69-23CF-44E3-9099-C40C66FF867C}">
                  <a14:compatExt spid="_x0000_s68615"/>
                </a:ext>
                <a:ext uri="{FF2B5EF4-FFF2-40B4-BE49-F238E27FC236}">
                  <a16:creationId xmlns:a16="http://schemas.microsoft.com/office/drawing/2014/main" id="{00000000-0008-0000-0900-000007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exporter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88</xdr:row>
          <xdr:rowOff>133350</xdr:rowOff>
        </xdr:from>
        <xdr:to>
          <xdr:col>0</xdr:col>
          <xdr:colOff>1714500</xdr:colOff>
          <xdr:row>91</xdr:row>
          <xdr:rowOff>152400</xdr:rowOff>
        </xdr:to>
        <xdr:sp macro="" textlink="">
          <xdr:nvSpPr>
            <xdr:cNvPr id="68616" name="Button 8" hidden="1">
              <a:extLst>
                <a:ext uri="{63B3BB69-23CF-44E3-9099-C40C66FF867C}">
                  <a14:compatExt spid="_x0000_s68616"/>
                </a:ext>
                <a:ext uri="{FF2B5EF4-FFF2-40B4-BE49-F238E27FC236}">
                  <a16:creationId xmlns:a16="http://schemas.microsoft.com/office/drawing/2014/main" id="{00000000-0008-0000-0900-000008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Fill the data after the course import from DevOps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990600</xdr:colOff>
          <xdr:row>107</xdr:row>
          <xdr:rowOff>76200</xdr:rowOff>
        </xdr:from>
        <xdr:to>
          <xdr:col>1</xdr:col>
          <xdr:colOff>752475</xdr:colOff>
          <xdr:row>110</xdr:row>
          <xdr:rowOff>19050</xdr:rowOff>
        </xdr:to>
        <xdr:sp macro="" textlink="">
          <xdr:nvSpPr>
            <xdr:cNvPr id="68617" name="Button 9" hidden="1">
              <a:extLst>
                <a:ext uri="{63B3BB69-23CF-44E3-9099-C40C66FF867C}">
                  <a14:compatExt spid="_x0000_s68617"/>
                </a:ext>
                <a:ext uri="{FF2B5EF4-FFF2-40B4-BE49-F238E27FC236}">
                  <a16:creationId xmlns:a16="http://schemas.microsoft.com/office/drawing/2014/main" id="{00000000-0008-0000-0900-000009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for script</a:t>
              </a:r>
            </a:p>
          </xdr:txBody>
        </xdr:sp>
        <xdr:clientData fPrintsWithSheet="0"/>
      </xdr:twoCellAnchor>
    </mc:Choice>
    <mc:Fallback/>
  </mc:AlternateContent>
  <xdr:twoCellAnchor>
    <xdr:from>
      <xdr:col>1</xdr:col>
      <xdr:colOff>9525</xdr:colOff>
      <xdr:row>74</xdr:row>
      <xdr:rowOff>28575</xdr:rowOff>
    </xdr:from>
    <xdr:to>
      <xdr:col>4</xdr:col>
      <xdr:colOff>466725</xdr:colOff>
      <xdr:row>83</xdr:row>
      <xdr:rowOff>114300</xdr:rowOff>
    </xdr:to>
    <xdr:cxnSp macro="">
      <xdr:nvCxnSpPr>
        <xdr:cNvPr id="5" name="Straight Arrow Connector 4">
          <a:extLst>
            <a:ext uri="{FF2B5EF4-FFF2-40B4-BE49-F238E27FC236}">
              <a16:creationId xmlns:a16="http://schemas.microsoft.com/office/drawing/2014/main" id="{1A2E23E6-2965-4DC1-85E3-606597B70C80}"/>
            </a:ext>
          </a:extLst>
        </xdr:cNvPr>
        <xdr:cNvCxnSpPr/>
      </xdr:nvCxnSpPr>
      <xdr:spPr>
        <a:xfrm flipH="1" flipV="1">
          <a:off x="1733550" y="12030075"/>
          <a:ext cx="7534275" cy="1543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1047750</xdr:colOff>
          <xdr:row>111</xdr:row>
          <xdr:rowOff>57150</xdr:rowOff>
        </xdr:from>
        <xdr:to>
          <xdr:col>2</xdr:col>
          <xdr:colOff>285750</xdr:colOff>
          <xdr:row>113</xdr:row>
          <xdr:rowOff>161925</xdr:rowOff>
        </xdr:to>
        <xdr:sp macro="" textlink="">
          <xdr:nvSpPr>
            <xdr:cNvPr id="68618" name="Button 10" hidden="1">
              <a:extLst>
                <a:ext uri="{63B3BB69-23CF-44E3-9099-C40C66FF867C}">
                  <a14:compatExt spid="_x0000_s68618"/>
                </a:ext>
                <a:ext uri="{FF2B5EF4-FFF2-40B4-BE49-F238E27FC236}">
                  <a16:creationId xmlns:a16="http://schemas.microsoft.com/office/drawing/2014/main" id="{00000000-0008-0000-0900-00000A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the CSV</a:t>
              </a:r>
            </a:p>
          </xdr:txBody>
        </xdr:sp>
        <xdr:clientData fPrintsWithSheet="0"/>
      </xdr:twoCellAnchor>
    </mc:Choice>
    <mc:Fallback/>
  </mc:AlternateContent>
  <xdr:twoCellAnchor editAs="oneCell">
    <xdr:from>
      <xdr:col>0</xdr:col>
      <xdr:colOff>923111</xdr:colOff>
      <xdr:row>118</xdr:row>
      <xdr:rowOff>91440</xdr:rowOff>
    </xdr:from>
    <xdr:to>
      <xdr:col>2</xdr:col>
      <xdr:colOff>2430208</xdr:colOff>
      <xdr:row>135</xdr:row>
      <xdr:rowOff>25421</xdr:rowOff>
    </xdr:to>
    <xdr:pic>
      <xdr:nvPicPr>
        <xdr:cNvPr id="6" name="Picture 5">
          <a:extLst>
            <a:ext uri="{FF2B5EF4-FFF2-40B4-BE49-F238E27FC236}">
              <a16:creationId xmlns:a16="http://schemas.microsoft.com/office/drawing/2014/main" id="{58FE4D25-55D9-4FDF-B6A0-8F6339F22B89}"/>
            </a:ext>
          </a:extLst>
        </xdr:cNvPr>
        <xdr:cNvPicPr>
          <a:picLocks noChangeAspect="1"/>
        </xdr:cNvPicPr>
      </xdr:nvPicPr>
      <xdr:blipFill>
        <a:blip xmlns:r="http://schemas.openxmlformats.org/officeDocument/2006/relationships" r:embed="rId1"/>
        <a:stretch>
          <a:fillRect/>
        </a:stretch>
      </xdr:blipFill>
      <xdr:spPr>
        <a:xfrm>
          <a:off x="923111" y="19217640"/>
          <a:ext cx="5094847" cy="268353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1009650</xdr:colOff>
          <xdr:row>101</xdr:row>
          <xdr:rowOff>152400</xdr:rowOff>
        </xdr:from>
        <xdr:to>
          <xdr:col>1</xdr:col>
          <xdr:colOff>819150</xdr:colOff>
          <xdr:row>104</xdr:row>
          <xdr:rowOff>38100</xdr:rowOff>
        </xdr:to>
        <xdr:sp macro="" textlink="">
          <xdr:nvSpPr>
            <xdr:cNvPr id="68619" name="Button 11" descr="Reset_Exporter" hidden="1">
              <a:extLst>
                <a:ext uri="{63B3BB69-23CF-44E3-9099-C40C66FF867C}">
                  <a14:compatExt spid="_x0000_s68619"/>
                </a:ext>
                <a:ext uri="{FF2B5EF4-FFF2-40B4-BE49-F238E27FC236}">
                  <a16:creationId xmlns:a16="http://schemas.microsoft.com/office/drawing/2014/main" id="{00000000-0008-0000-0900-00000B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exporter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581025</xdr:colOff>
      <xdr:row>80</xdr:row>
      <xdr:rowOff>28574</xdr:rowOff>
    </xdr:from>
    <xdr:to>
      <xdr:col>2</xdr:col>
      <xdr:colOff>4533901</xdr:colOff>
      <xdr:row>132</xdr:row>
      <xdr:rowOff>152399</xdr:rowOff>
    </xdr:to>
    <xdr:sp macro="" textlink="">
      <xdr:nvSpPr>
        <xdr:cNvPr id="2" name="Rectangle: Rounded Corners 1">
          <a:extLst>
            <a:ext uri="{FF2B5EF4-FFF2-40B4-BE49-F238E27FC236}">
              <a16:creationId xmlns:a16="http://schemas.microsoft.com/office/drawing/2014/main" id="{4BFCD316-B335-4438-8EA3-6E3722BB5D47}"/>
            </a:ext>
          </a:extLst>
        </xdr:cNvPr>
        <xdr:cNvSpPr/>
      </xdr:nvSpPr>
      <xdr:spPr>
        <a:xfrm>
          <a:off x="581025" y="12801599"/>
          <a:ext cx="6334126" cy="8543925"/>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400" b="1" i="1" u="sng"/>
            <a:t>How to Create Course Descriptions in HTML</a:t>
          </a:r>
          <a:r>
            <a:rPr lang="en-US" sz="1400" b="1" i="1" u="sng" baseline="0"/>
            <a:t> ready to Upload to Portal</a:t>
          </a:r>
          <a:endParaRPr lang="en-US" sz="1400" b="1" i="1" u="sng"/>
        </a:p>
        <a:p>
          <a:pPr algn="l"/>
          <a:endParaRPr lang="en-US" sz="1400" b="1" i="1" u="sng"/>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1. If you have a tab at the bottom of your sheet called Exporter, Click the Reset Exporter button, if not, go to step 2.</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1. Click the Prepare for Script Button.</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2. Click Save the CSV.</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3. Go to the location where you saved the script file titled "Lessons_Script_Main_v3" and double click on it to run it.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4. Copy and paste the file path location of the CSV document that was just saved. It should be called Exporter.</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5. Press Enter</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u="none" baseline="0">
              <a:solidFill>
                <a:schemeClr val="lt1"/>
              </a:solidFill>
              <a:effectLst/>
              <a:latin typeface="+mn-lt"/>
              <a:ea typeface="+mn-ea"/>
              <a:cs typeface="+mn-cs"/>
            </a:rPr>
            <a:t>6. A new .txt file will be saved to the same folder where this information is stored, it will be called Lesson_Description_Generated.txt. Open it and you will find HTML coded lesson descriptions from Epic, Requirement, and Feature information from DevOps. Please edit it as you see fit before posting to the portal.</a:t>
          </a: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400" b="0" i="0" u="none" baseline="0"/>
        </a:p>
        <a:p>
          <a:pPr algn="l"/>
          <a:endParaRPr lang="en-US" sz="1100" b="1" baseline="0"/>
        </a:p>
        <a:p>
          <a:pPr algn="l"/>
          <a:endParaRPr lang="en-US" sz="1100" b="1"/>
        </a:p>
      </xdr:txBody>
    </xdr:sp>
    <xdr:clientData/>
  </xdr:twoCellAnchor>
  <xdr:twoCellAnchor>
    <xdr:from>
      <xdr:col>4</xdr:col>
      <xdr:colOff>76200</xdr:colOff>
      <xdr:row>61</xdr:row>
      <xdr:rowOff>57148</xdr:rowOff>
    </xdr:from>
    <xdr:to>
      <xdr:col>14</xdr:col>
      <xdr:colOff>314326</xdr:colOff>
      <xdr:row>95</xdr:row>
      <xdr:rowOff>38100</xdr:rowOff>
    </xdr:to>
    <xdr:sp macro="" textlink="">
      <xdr:nvSpPr>
        <xdr:cNvPr id="3" name="Rectangle: Rounded Corners 2">
          <a:extLst>
            <a:ext uri="{FF2B5EF4-FFF2-40B4-BE49-F238E27FC236}">
              <a16:creationId xmlns:a16="http://schemas.microsoft.com/office/drawing/2014/main" id="{23D3D6F1-08B8-45DF-84D1-193EEC3C53D1}"/>
            </a:ext>
          </a:extLst>
        </xdr:cNvPr>
        <xdr:cNvSpPr/>
      </xdr:nvSpPr>
      <xdr:spPr>
        <a:xfrm>
          <a:off x="7658100" y="9915523"/>
          <a:ext cx="6334126" cy="5486402"/>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i="1" u="sng"/>
            <a:t>How to Import Information from DevOps into the Course Design Worksheet</a:t>
          </a:r>
        </a:p>
        <a:p>
          <a:pPr algn="l"/>
          <a:endParaRPr lang="en-US" sz="1400" b="1" i="1" u="sng"/>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1. Create a Query in DevOps that contains your course and lesson structure.</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2. Hit the three dots in the top and select Export to CSV.</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3. Save the CSV to a location.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4. Copy the filepath location of the CSV file and paste it in Cell A 43.</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5. Click the Update The Data Button</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6. Click Align the Course Data, this fills out the Align Your Project tab</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1" u="sng"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1" u="sng"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1" u="sng"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i="1" u="sng"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u="none" baseline="0">
              <a:solidFill>
                <a:schemeClr val="lt1"/>
              </a:solidFill>
              <a:effectLst/>
              <a:latin typeface="+mn-lt"/>
              <a:ea typeface="+mn-ea"/>
              <a:cs typeface="+mn-cs"/>
            </a:rPr>
            <a:t>7. Click the Align Course Structure Button</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u="none" baseline="0">
              <a:solidFill>
                <a:schemeClr val="lt1"/>
              </a:solidFill>
              <a:effectLst/>
              <a:latin typeface="+mn-lt"/>
              <a:ea typeface="+mn-ea"/>
              <a:cs typeface="+mn-cs"/>
            </a:rPr>
            <a:t>8. Click Add Lesson Number</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u="none"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400" b="0" i="0" u="none" baseline="0"/>
        </a:p>
        <a:p>
          <a:pPr algn="l"/>
          <a:endParaRPr lang="en-US" sz="1100" b="1" baseline="0"/>
        </a:p>
        <a:p>
          <a:pPr algn="l"/>
          <a:endParaRPr lang="en-US" sz="1100" b="1"/>
        </a:p>
      </xdr:txBody>
    </xdr:sp>
    <xdr:clientData/>
  </xdr:twoCellAnchor>
  <xdr:twoCellAnchor>
    <xdr:from>
      <xdr:col>5</xdr:col>
      <xdr:colOff>419100</xdr:colOff>
      <xdr:row>25</xdr:row>
      <xdr:rowOff>19050</xdr:rowOff>
    </xdr:from>
    <xdr:to>
      <xdr:col>11</xdr:col>
      <xdr:colOff>390525</xdr:colOff>
      <xdr:row>32</xdr:row>
      <xdr:rowOff>1581150</xdr:rowOff>
    </xdr:to>
    <xdr:sp macro="" textlink="">
      <xdr:nvSpPr>
        <xdr:cNvPr id="4" name="Rectangle: Rounded Corners 3">
          <a:extLst>
            <a:ext uri="{FF2B5EF4-FFF2-40B4-BE49-F238E27FC236}">
              <a16:creationId xmlns:a16="http://schemas.microsoft.com/office/drawing/2014/main" id="{82241A61-F074-4FED-8E76-653EC3472EB5}"/>
            </a:ext>
          </a:extLst>
        </xdr:cNvPr>
        <xdr:cNvSpPr/>
      </xdr:nvSpPr>
      <xdr:spPr>
        <a:xfrm>
          <a:off x="9829800" y="3086100"/>
          <a:ext cx="3629025" cy="4248150"/>
        </a:xfrm>
        <a:prstGeom prst="roundRect">
          <a:avLst/>
        </a:prstGeom>
        <a:solidFill>
          <a:srgbClr val="CD63C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i="1" u="none">
              <a:solidFill>
                <a:schemeClr val="tx1"/>
              </a:solidFill>
            </a:rPr>
            <a:t>How to </a:t>
          </a:r>
          <a:r>
            <a:rPr lang="en-US" sz="1400" b="1" i="1" u="none" baseline="0">
              <a:solidFill>
                <a:schemeClr val="tx1"/>
              </a:solidFill>
            </a:rPr>
            <a:t>upload Course Design Sheet Information to DevOps</a:t>
          </a:r>
        </a:p>
        <a:p>
          <a:pPr algn="l"/>
          <a:endParaRPr lang="en-US" sz="1100" b="1" baseline="0"/>
        </a:p>
        <a:p>
          <a:pPr algn="l"/>
          <a:r>
            <a:rPr lang="en-US" sz="1100" b="1" baseline="0">
              <a:solidFill>
                <a:schemeClr val="tx1"/>
              </a:solidFill>
            </a:rPr>
            <a:t>1. </a:t>
          </a:r>
          <a:r>
            <a:rPr lang="en-US" sz="1100" b="1" baseline="0"/>
            <a:t>Fill out the blue highlighted sections of the </a:t>
          </a:r>
          <a:r>
            <a:rPr lang="en-US" sz="1100" b="1" u="sng" baseline="0"/>
            <a:t>Course Info </a:t>
          </a:r>
          <a:r>
            <a:rPr lang="en-US" sz="1100" b="1" baseline="0"/>
            <a:t>tab.</a:t>
          </a:r>
        </a:p>
        <a:p>
          <a:pPr algn="l"/>
          <a:r>
            <a:rPr lang="en-US" sz="1100" b="1" baseline="0">
              <a:solidFill>
                <a:schemeClr val="tx1"/>
              </a:solidFill>
            </a:rPr>
            <a:t>2. </a:t>
          </a:r>
          <a:r>
            <a:rPr lang="en-US" sz="1100" b="1" baseline="0"/>
            <a:t>Fill out the blue highlighted sections of the Project Plan tab. This is where the course outline will go.</a:t>
          </a:r>
        </a:p>
        <a:p>
          <a:pPr algn="l"/>
          <a:r>
            <a:rPr lang="en-US" sz="1100" b="1" baseline="0">
              <a:solidFill>
                <a:schemeClr val="tx1"/>
              </a:solidFill>
            </a:rPr>
            <a:t>3. </a:t>
          </a:r>
          <a:r>
            <a:rPr lang="en-US" sz="1100" b="1" baseline="0"/>
            <a:t>When you are ready to export the data to DevOps, press the Fill the data button</a:t>
          </a:r>
        </a:p>
        <a:p>
          <a:pPr algn="l"/>
          <a:endParaRPr lang="en-US" sz="1100" b="1" baseline="0"/>
        </a:p>
        <a:p>
          <a:pPr algn="l"/>
          <a:endParaRPr lang="en-US" sz="1100" b="1" baseline="0"/>
        </a:p>
        <a:p>
          <a:pPr algn="l"/>
          <a:r>
            <a:rPr lang="en-US" sz="1100" b="1" baseline="0">
              <a:solidFill>
                <a:schemeClr val="tx1"/>
              </a:solidFill>
            </a:rPr>
            <a:t>4. </a:t>
          </a:r>
          <a:r>
            <a:rPr lang="en-US" sz="1100" b="1" baseline="0"/>
            <a:t>You will see a new tab in the sheet called "exporter"</a:t>
          </a:r>
        </a:p>
        <a:p>
          <a:pPr algn="l"/>
          <a:r>
            <a:rPr lang="en-US" sz="1100" b="1" baseline="0">
              <a:solidFill>
                <a:schemeClr val="tx1"/>
              </a:solidFill>
            </a:rPr>
            <a:t>5. </a:t>
          </a:r>
          <a:r>
            <a:rPr lang="en-US" sz="1100" b="1" baseline="0"/>
            <a:t>Click the Save the CSV button. </a:t>
          </a:r>
        </a:p>
        <a:p>
          <a:pPr algn="l"/>
          <a:endParaRPr lang="en-US" sz="1100" b="1" baseline="0"/>
        </a:p>
        <a:p>
          <a:pPr algn="l"/>
          <a:endParaRPr lang="en-US" sz="1100" b="1" baseline="0"/>
        </a:p>
        <a:p>
          <a:pPr marL="0" marR="0" lvl="0"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effectLst/>
              <a:latin typeface="+mn-lt"/>
              <a:ea typeface="+mn-ea"/>
              <a:cs typeface="+mn-cs"/>
            </a:rPr>
            <a:t>6. </a:t>
          </a:r>
          <a:r>
            <a:rPr lang="en-US" sz="1100" b="1" baseline="0">
              <a:solidFill>
                <a:schemeClr val="lt1"/>
              </a:solidFill>
              <a:effectLst/>
              <a:latin typeface="+mn-lt"/>
              <a:ea typeface="+mn-ea"/>
              <a:cs typeface="+mn-cs"/>
            </a:rPr>
            <a:t>The CSV file has now been saved to the same location as this Course Design Worksheet. The CSV file is ready to load to DevOps. Please go to the PM Process Documentation Training in the Creating new work items in DevOps 2.0 for next steps. </a:t>
          </a:r>
          <a:endParaRPr lang="en-US" sz="1100" b="1"/>
        </a:p>
      </xdr:txBody>
    </xdr:sp>
    <xdr:clientData/>
  </xdr:twoCellAnchor>
  <mc:AlternateContent xmlns:mc="http://schemas.openxmlformats.org/markup-compatibility/2006">
    <mc:Choice xmlns:a14="http://schemas.microsoft.com/office/drawing/2010/main" Requires="a14">
      <xdr:twoCellAnchor editAs="oneCell">
        <xdr:from>
          <xdr:col>7</xdr:col>
          <xdr:colOff>285750</xdr:colOff>
          <xdr:row>30</xdr:row>
          <xdr:rowOff>0</xdr:rowOff>
        </xdr:from>
        <xdr:to>
          <xdr:col>9</xdr:col>
          <xdr:colOff>66675</xdr:colOff>
          <xdr:row>31</xdr:row>
          <xdr:rowOff>152400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B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Fill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32</xdr:row>
          <xdr:rowOff>66675</xdr:rowOff>
        </xdr:from>
        <xdr:to>
          <xdr:col>9</xdr:col>
          <xdr:colOff>76200</xdr:colOff>
          <xdr:row>32</xdr:row>
          <xdr:rowOff>361950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B00-00000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the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71</xdr:row>
          <xdr:rowOff>19050</xdr:rowOff>
        </xdr:from>
        <xdr:to>
          <xdr:col>7</xdr:col>
          <xdr:colOff>133350</xdr:colOff>
          <xdr:row>74</xdr:row>
          <xdr:rowOff>85725</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B00-000003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590550</xdr:colOff>
          <xdr:row>88</xdr:row>
          <xdr:rowOff>19050</xdr:rowOff>
        </xdr:from>
        <xdr:to>
          <xdr:col>7</xdr:col>
          <xdr:colOff>247650</xdr:colOff>
          <xdr:row>92</xdr:row>
          <xdr:rowOff>38100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B00-000004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Lesson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76</xdr:row>
          <xdr:rowOff>95250</xdr:rowOff>
        </xdr:from>
        <xdr:to>
          <xdr:col>7</xdr:col>
          <xdr:colOff>581025</xdr:colOff>
          <xdr:row>79</xdr:row>
          <xdr:rowOff>123825</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B00-000005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Align the Course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609600</xdr:colOff>
          <xdr:row>82</xdr:row>
          <xdr:rowOff>0</xdr:rowOff>
        </xdr:from>
        <xdr:to>
          <xdr:col>7</xdr:col>
          <xdr:colOff>142875</xdr:colOff>
          <xdr:row>85</xdr:row>
          <xdr:rowOff>57150</xdr:rowOff>
        </xdr:to>
        <xdr:sp macro="" textlink="">
          <xdr:nvSpPr>
            <xdr:cNvPr id="48134" name="Button 6" hidden="1">
              <a:extLst>
                <a:ext uri="{63B3BB69-23CF-44E3-9099-C40C66FF867C}">
                  <a14:compatExt spid="_x0000_s48134"/>
                </a:ext>
                <a:ext uri="{FF2B5EF4-FFF2-40B4-BE49-F238E27FC236}">
                  <a16:creationId xmlns:a16="http://schemas.microsoft.com/office/drawing/2014/main" id="{00000000-0008-0000-0B00-000006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Align Course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438150</xdr:colOff>
          <xdr:row>53</xdr:row>
          <xdr:rowOff>123825</xdr:rowOff>
        </xdr:from>
        <xdr:to>
          <xdr:col>1</xdr:col>
          <xdr:colOff>285750</xdr:colOff>
          <xdr:row>56</xdr:row>
          <xdr:rowOff>9525</xdr:rowOff>
        </xdr:to>
        <xdr:sp macro="" textlink="">
          <xdr:nvSpPr>
            <xdr:cNvPr id="48135" name="Button 7" descr="Reset_Exporter" hidden="1">
              <a:extLst>
                <a:ext uri="{63B3BB69-23CF-44E3-9099-C40C66FF867C}">
                  <a14:compatExt spid="_x0000_s48135"/>
                </a:ext>
                <a:ext uri="{FF2B5EF4-FFF2-40B4-BE49-F238E27FC236}">
                  <a16:creationId xmlns:a16="http://schemas.microsoft.com/office/drawing/2014/main" id="{00000000-0008-0000-0B00-000007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exporter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74</xdr:row>
          <xdr:rowOff>133350</xdr:rowOff>
        </xdr:from>
        <xdr:to>
          <xdr:col>0</xdr:col>
          <xdr:colOff>1714500</xdr:colOff>
          <xdr:row>77</xdr:row>
          <xdr:rowOff>152400</xdr:rowOff>
        </xdr:to>
        <xdr:sp macro="" textlink="">
          <xdr:nvSpPr>
            <xdr:cNvPr id="48136" name="Button 8" hidden="1">
              <a:extLst>
                <a:ext uri="{63B3BB69-23CF-44E3-9099-C40C66FF867C}">
                  <a14:compatExt spid="_x0000_s48136"/>
                </a:ext>
                <a:ext uri="{FF2B5EF4-FFF2-40B4-BE49-F238E27FC236}">
                  <a16:creationId xmlns:a16="http://schemas.microsoft.com/office/drawing/2014/main" id="{00000000-0008-0000-0B00-000008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Fill the data after the course import from DevOps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990600</xdr:colOff>
          <xdr:row>93</xdr:row>
          <xdr:rowOff>76200</xdr:rowOff>
        </xdr:from>
        <xdr:to>
          <xdr:col>1</xdr:col>
          <xdr:colOff>790575</xdr:colOff>
          <xdr:row>96</xdr:row>
          <xdr:rowOff>19050</xdr:rowOff>
        </xdr:to>
        <xdr:sp macro="" textlink="">
          <xdr:nvSpPr>
            <xdr:cNvPr id="48137" name="Button 9" hidden="1">
              <a:extLst>
                <a:ext uri="{63B3BB69-23CF-44E3-9099-C40C66FF867C}">
                  <a14:compatExt spid="_x0000_s48137"/>
                </a:ext>
                <a:ext uri="{FF2B5EF4-FFF2-40B4-BE49-F238E27FC236}">
                  <a16:creationId xmlns:a16="http://schemas.microsoft.com/office/drawing/2014/main" id="{00000000-0008-0000-0B00-000009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for script</a:t>
              </a:r>
            </a:p>
          </xdr:txBody>
        </xdr:sp>
        <xdr:clientData fPrintsWithSheet="0"/>
      </xdr:twoCellAnchor>
    </mc:Choice>
    <mc:Fallback/>
  </mc:AlternateContent>
  <xdr:twoCellAnchor>
    <xdr:from>
      <xdr:col>1</xdr:col>
      <xdr:colOff>9525</xdr:colOff>
      <xdr:row>60</xdr:row>
      <xdr:rowOff>28575</xdr:rowOff>
    </xdr:from>
    <xdr:to>
      <xdr:col>4</xdr:col>
      <xdr:colOff>466725</xdr:colOff>
      <xdr:row>69</xdr:row>
      <xdr:rowOff>114300</xdr:rowOff>
    </xdr:to>
    <xdr:cxnSp macro="">
      <xdr:nvCxnSpPr>
        <xdr:cNvPr id="5" name="Straight Arrow Connector 4">
          <a:extLst>
            <a:ext uri="{FF2B5EF4-FFF2-40B4-BE49-F238E27FC236}">
              <a16:creationId xmlns:a16="http://schemas.microsoft.com/office/drawing/2014/main" id="{0C6CA33B-6F41-40B4-9FB9-54BED90A8E2F}"/>
            </a:ext>
          </a:extLst>
        </xdr:cNvPr>
        <xdr:cNvCxnSpPr/>
      </xdr:nvCxnSpPr>
      <xdr:spPr>
        <a:xfrm flipH="1" flipV="1">
          <a:off x="1533525" y="9725025"/>
          <a:ext cx="6515100" cy="1543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1047750</xdr:colOff>
          <xdr:row>97</xdr:row>
          <xdr:rowOff>57150</xdr:rowOff>
        </xdr:from>
        <xdr:to>
          <xdr:col>2</xdr:col>
          <xdr:colOff>285750</xdr:colOff>
          <xdr:row>99</xdr:row>
          <xdr:rowOff>161925</xdr:rowOff>
        </xdr:to>
        <xdr:sp macro="" textlink="">
          <xdr:nvSpPr>
            <xdr:cNvPr id="48138" name="Button 10" hidden="1">
              <a:extLst>
                <a:ext uri="{63B3BB69-23CF-44E3-9099-C40C66FF867C}">
                  <a14:compatExt spid="_x0000_s48138"/>
                </a:ext>
                <a:ext uri="{FF2B5EF4-FFF2-40B4-BE49-F238E27FC236}">
                  <a16:creationId xmlns:a16="http://schemas.microsoft.com/office/drawing/2014/main" id="{00000000-0008-0000-0B00-00000A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the CSV</a:t>
              </a:r>
            </a:p>
          </xdr:txBody>
        </xdr:sp>
        <xdr:clientData fPrintsWithSheet="0"/>
      </xdr:twoCellAnchor>
    </mc:Choice>
    <mc:Fallback/>
  </mc:AlternateContent>
  <xdr:twoCellAnchor editAs="oneCell">
    <xdr:from>
      <xdr:col>0</xdr:col>
      <xdr:colOff>923111</xdr:colOff>
      <xdr:row>104</xdr:row>
      <xdr:rowOff>91440</xdr:rowOff>
    </xdr:from>
    <xdr:to>
      <xdr:col>2</xdr:col>
      <xdr:colOff>2417508</xdr:colOff>
      <xdr:row>121</xdr:row>
      <xdr:rowOff>22246</xdr:rowOff>
    </xdr:to>
    <xdr:pic>
      <xdr:nvPicPr>
        <xdr:cNvPr id="6" name="Picture 5">
          <a:extLst>
            <a:ext uri="{FF2B5EF4-FFF2-40B4-BE49-F238E27FC236}">
              <a16:creationId xmlns:a16="http://schemas.microsoft.com/office/drawing/2014/main" id="{5308A1FA-BCC6-4C96-910B-3223B53CCFAC}"/>
            </a:ext>
          </a:extLst>
        </xdr:cNvPr>
        <xdr:cNvPicPr>
          <a:picLocks noChangeAspect="1"/>
        </xdr:cNvPicPr>
      </xdr:nvPicPr>
      <xdr:blipFill>
        <a:blip xmlns:r="http://schemas.openxmlformats.org/officeDocument/2006/relationships" r:embed="rId1"/>
        <a:stretch>
          <a:fillRect/>
        </a:stretch>
      </xdr:blipFill>
      <xdr:spPr>
        <a:xfrm>
          <a:off x="923111" y="16750665"/>
          <a:ext cx="5094847" cy="268353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1009650</xdr:colOff>
          <xdr:row>87</xdr:row>
          <xdr:rowOff>152400</xdr:rowOff>
        </xdr:from>
        <xdr:to>
          <xdr:col>1</xdr:col>
          <xdr:colOff>857250</xdr:colOff>
          <xdr:row>90</xdr:row>
          <xdr:rowOff>38100</xdr:rowOff>
        </xdr:to>
        <xdr:sp macro="" textlink="">
          <xdr:nvSpPr>
            <xdr:cNvPr id="48139" name="Button 11" descr="Reset_Exporter" hidden="1">
              <a:extLst>
                <a:ext uri="{63B3BB69-23CF-44E3-9099-C40C66FF867C}">
                  <a14:compatExt spid="_x0000_s48139"/>
                </a:ext>
                <a:ext uri="{FF2B5EF4-FFF2-40B4-BE49-F238E27FC236}">
                  <a16:creationId xmlns:a16="http://schemas.microsoft.com/office/drawing/2014/main" id="{00000000-0008-0000-0B00-00000B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exporter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6" xr16:uid="{83C43D46-84D0-4EAC-9C79-E50B8713321D}" autoFormatId="16" applyNumberFormats="0" applyBorderFormats="0" applyFontFormats="0" applyPatternFormats="0" applyAlignmentFormats="0" applyWidthHeightFormats="0">
  <queryTableRefresh nextId="5">
    <queryTableFields count="3">
      <queryTableField id="1" name="Title 1" tableColumnId="1"/>
      <queryTableField id="2" name="Title 2" tableColumnId="2"/>
      <queryTableField id="3" name="Title 3"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378208E7-2E64-4899-9034-018470A2FDDF}" autoFormatId="16" applyNumberFormats="0" applyBorderFormats="0" applyFontFormats="0" applyPatternFormats="0" applyAlignmentFormats="0" applyWidthHeightFormats="0">
  <queryTableRefresh nextId="2">
    <queryTableFields count="1">
      <queryTableField id="1" name="Column1"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48F98906-81BE-47C7-8E12-E4D51848619D}" autoFormatId="16" applyNumberFormats="0" applyBorderFormats="0" applyFontFormats="0" applyPatternFormats="0" applyAlignmentFormats="0" applyWidthHeightFormats="0">
  <queryTableRefresh nextId="14">
    <queryTableFields count="4">
      <queryTableField id="1" name="ID" tableColumnId="1"/>
      <queryTableField id="10" name="Title 3" tableColumnId="6"/>
      <queryTableField id="4" name="Module Type" tableColumnId="4"/>
      <queryTableField id="5" name="Skill Category"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2A6B77-4FA8-481E-BE3B-DA5D402B7F3C}" name="filenames" displayName="filenames" ref="A1:C12" tableType="queryTable" totalsRowShown="0">
  <autoFilter ref="A1:C12" xr:uid="{652A6B77-4FA8-481E-BE3B-DA5D402B7F3C}"/>
  <tableColumns count="3">
    <tableColumn id="1" xr3:uid="{95025333-AA01-4CCD-A16E-B4D2B4640B67}" uniqueName="1" name="Title 1" queryTableFieldId="1" dataDxfId="52"/>
    <tableColumn id="2" xr3:uid="{34A13EDA-8615-4F8B-BBF0-7C68AB03568C}" uniqueName="2" name="Title 2" queryTableFieldId="2" dataDxfId="51"/>
    <tableColumn id="3" xr3:uid="{B75A196C-508E-4ED8-A81E-F7AAA9BC9ADA}" uniqueName="3" name="Title 3" queryTableFieldId="3" dataDxfId="5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09A798E-4C1F-4E56-8E86-8D098419CBB1}" name="Table26" displayName="Table26" ref="A6:G14" totalsRowShown="0" headerRowDxfId="49" headerRowBorderDxfId="48" tableBorderDxfId="47" totalsRowBorderDxfId="46">
  <autoFilter ref="A6:G14" xr:uid="{1C88B643-582F-456B-ADCE-A7A52BD63CB6}"/>
  <tableColumns count="7">
    <tableColumn id="1" xr3:uid="{555A23E1-3D59-4A5E-91F9-D4A9D3E808F4}" name="Lesson #" dataDxfId="45"/>
    <tableColumn id="2" xr3:uid="{B5ADEE4E-FD29-443A-B86B-61411EDE4309}" name="Module ID" dataDxfId="44"/>
    <tableColumn id="3" xr3:uid="{13FAC331-3B4D-4397-99AC-DAB01B828BB9}" name="Lesson Title" dataDxfId="43"/>
    <tableColumn id="4" xr3:uid="{6FBD1579-E32B-43F3-9677-913B336549FF}" name="Skill Name" dataDxfId="42"/>
    <tableColumn id="7" xr3:uid="{177D1828-0CF5-4007-A378-6BAB529EEF17}" name="Format" dataDxfId="41"/>
    <tableColumn id="5" xr3:uid="{91BA1175-CCC9-4902-B30C-F151708B3049}" name="Skill Category" dataDxfId="40"/>
    <tableColumn id="6" xr3:uid="{A45ED4BE-AEFD-4404-BB98-CFFECB227857}" name="Duration (min)" dataDxfId="39"/>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A4A9C3F-C56E-4B4A-89CB-DA7B877E0D15}" name="Table_Epic" displayName="Table_Epic" ref="A1:A19" tableType="queryTable" totalsRowShown="0">
  <autoFilter ref="A1:A19" xr:uid="{EA4A9C3F-C56E-4B4A-89CB-DA7B877E0D15}"/>
  <tableColumns count="1">
    <tableColumn id="1" xr3:uid="{23248DCB-EDFB-4385-B0A8-B03487C3786A}" uniqueName="1" name="Column1"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E32C178-3CFC-4DE5-855D-197FFEE734CC}" name="Course" displayName="Course" ref="A1:D17" tableType="queryTable" totalsRowShown="0">
  <autoFilter ref="A1:D17" xr:uid="{5E32C178-3CFC-4DE5-855D-197FFEE734CC}"/>
  <tableColumns count="4">
    <tableColumn id="1" xr3:uid="{65BD8D47-4396-4641-B494-9477CE028DD3}" uniqueName="1" name="ID" queryTableFieldId="1" dataDxfId="38"/>
    <tableColumn id="6" xr3:uid="{62C4972E-E198-4888-AC70-521A1C58C499}" uniqueName="6" name="Title 3" queryTableFieldId="10" dataDxfId="37"/>
    <tableColumn id="4" xr3:uid="{BA80AB50-1F41-48F2-89E0-BB42BFDF2C6E}" uniqueName="4" name="Module Type" queryTableFieldId="4" dataDxfId="36"/>
    <tableColumn id="5" xr3:uid="{C41D1CA2-CD8B-48C4-83E4-AD6B57B787E3}" uniqueName="5" name="Skill Category" queryTableFieldId="5" dataDxfId="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3FB5256-F7CF-4769-8634-33E43CEA1828}" name="Table2737" displayName="Table2737" ref="A6:J26" totalsRowShown="0" headerRowDxfId="34" dataDxfId="32" headerRowBorderDxfId="33" tableBorderDxfId="31" totalsRowBorderDxfId="30">
  <autoFilter ref="A6:J26" xr:uid="{1C88B643-582F-456B-ADCE-A7A52BD63CB6}"/>
  <tableColumns count="10">
    <tableColumn id="1" xr3:uid="{D4E7B427-3139-4CC5-A166-8512A6CEDA32}" name="Lesson #" dataDxfId="29"/>
    <tableColumn id="9" xr3:uid="{BC5723AC-A49A-4465-8060-1E13AB0D1AB4}" name="Deliverable Code" dataDxfId="28"/>
    <tableColumn id="8" xr3:uid="{27BF33C1-FD57-4C68-8018-1985D2DD9AD0}" name="Skill" dataDxfId="27"/>
    <tableColumn id="5" xr3:uid="{7383015E-C9DA-46CE-95B7-F479B339AB75}" name="Learning Outcome" dataDxfId="26"/>
    <tableColumn id="10" xr3:uid="{B3B6E155-D919-4B1C-AE96-F5A8D3177E46}" name="Learning Objectives" dataDxfId="25"/>
    <tableColumn id="4" xr3:uid="{3BB7CAA0-F65D-402E-97CF-F40189ABF76C}" name="Method of Assessment " dataDxfId="24"/>
    <tableColumn id="7" xr3:uid="{A5C4DE08-89AF-4C15-9E7E-300CD93F57ED}" name="Lesson Title" dataDxfId="23"/>
    <tableColumn id="2" xr3:uid="{80A40054-9201-474C-B6D1-535EAA0D3BAA}" name="Format (Delivery Method)" dataDxfId="22"/>
    <tableColumn id="13" xr3:uid="{606BB2E5-229D-4FFF-BA28-70F5A2F182A2}" name="Learning Activity" dataDxfId="21"/>
    <tableColumn id="6" xr3:uid="{F4DF4757-F8DE-46A8-99D8-DA8A2486D23D}" name="Duration (min)" dataDxfId="2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E23189-5872-4F76-9E5B-688569E8D27D}" name="Table273" displayName="Table273" ref="A6:J26" totalsRowShown="0" headerRowDxfId="19" dataDxfId="17" headerRowBorderDxfId="18" tableBorderDxfId="16" totalsRowBorderDxfId="15">
  <autoFilter ref="A6:J26" xr:uid="{1C88B643-582F-456B-ADCE-A7A52BD63CB6}"/>
  <tableColumns count="10">
    <tableColumn id="1" xr3:uid="{D8871C61-5DC0-464B-9FCA-D9C75C399DCF}" name="Lesson #" dataDxfId="14"/>
    <tableColumn id="9" xr3:uid="{8041406E-898C-4F56-93ED-0F4221BB7380}" name="Deliverable Code" dataDxfId="13"/>
    <tableColumn id="8" xr3:uid="{59A9FBDF-C682-4326-B8A5-B263FE4990E1}" name="Skill" dataDxfId="12"/>
    <tableColumn id="4" xr3:uid="{C2177B17-6017-4BE9-B965-B504ADA05683}" name="Lesson Title" dataDxfId="11"/>
    <tableColumn id="7" xr3:uid="{01E94A32-F249-4850-B9BB-D0F2B3A28D4A}" name="Format" dataDxfId="10"/>
    <tableColumn id="5" xr3:uid="{DA5AFCE4-2C18-4C91-A6EF-1910906AF40C}" name="Skill-based Learning Outcomes" dataDxfId="9"/>
    <tableColumn id="10" xr3:uid="{0267CF99-C69D-4A2B-BE5D-73A0B22E29AC}" name="Learning Objectives" dataDxfId="8"/>
    <tableColumn id="11" xr3:uid="{FCFAC2BF-640F-4A8B-91F7-C68C35E7F420}" name="Method of Assessment " dataDxfId="7"/>
    <tableColumn id="12" xr3:uid="{8B68B8C9-C883-415D-A7C5-45BC7A372ECD}" name="Learning Activity" dataDxfId="6"/>
    <tableColumn id="6" xr3:uid="{6309949E-768B-44EF-A9D9-26A1D74FDAEB}" name="Duration (min)" dataDxfId="5"/>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45FDF9D-1746-4F19-81C1-DC2732B76811}" name="Scale" displayName="Scale" ref="A1:C6" totalsRowShown="0" headerRowDxfId="4" dataDxfId="3">
  <autoFilter ref="A1:C6" xr:uid="{145FDF9D-1746-4F19-81C1-DC2732B76811}"/>
  <tableColumns count="3">
    <tableColumn id="1" xr3:uid="{71665E2F-293F-458F-BC5B-B332B6CAA6C8}" name="Scale Value &amp; Name" dataDxfId="2"/>
    <tableColumn id="4" xr3:uid="{F2384409-CAD6-49F2-ADFB-CE6AD75A3662}" name="Scale Description (Short)" dataDxfId="1"/>
    <tableColumn id="3" xr3:uid="{2B805E24-2322-4256-BB19-1478DB77F8D0}" name="Scale Description (Long)"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omments" Target="../comments2.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2.bin"/><Relationship Id="rId1" Type="http://schemas.openxmlformats.org/officeDocument/2006/relationships/hyperlink" Target="mailto:RGalusz@rockwellautomation.co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omments" Target="../comments4.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5" Type="http://schemas.openxmlformats.org/officeDocument/2006/relationships/comments" Target="../comments6.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21433-04EE-4B06-ACDE-5ABD7A387D8E}">
  <sheetPr codeName="Sheet14"/>
  <dimension ref="A1:C28"/>
  <sheetViews>
    <sheetView topLeftCell="A4" workbookViewId="0">
      <selection activeCell="C20" sqref="C20:C28"/>
    </sheetView>
  </sheetViews>
  <sheetFormatPr defaultRowHeight="15" x14ac:dyDescent="0.25"/>
  <sheetData>
    <row r="1" spans="1:3" x14ac:dyDescent="0.25">
      <c r="A1" s="3" t="s">
        <v>0</v>
      </c>
      <c r="B1" s="140"/>
      <c r="C1" s="141"/>
    </row>
    <row r="2" spans="1:3" x14ac:dyDescent="0.25">
      <c r="A2" s="3" t="s">
        <v>1</v>
      </c>
      <c r="B2" s="142"/>
      <c r="C2" s="143"/>
    </row>
    <row r="3" spans="1:3" x14ac:dyDescent="0.25">
      <c r="A3" s="3" t="s">
        <v>2</v>
      </c>
      <c r="B3" s="142"/>
      <c r="C3" s="143"/>
    </row>
    <row r="4" spans="1:3" x14ac:dyDescent="0.25">
      <c r="A4" s="3" t="s">
        <v>3</v>
      </c>
      <c r="B4" s="142"/>
      <c r="C4" s="143"/>
    </row>
    <row r="5" spans="1:3" x14ac:dyDescent="0.25">
      <c r="A5" s="3" t="s">
        <v>4</v>
      </c>
      <c r="B5" s="142"/>
      <c r="C5" s="143"/>
    </row>
    <row r="6" spans="1:3" x14ac:dyDescent="0.25">
      <c r="A6" s="3" t="s">
        <v>5</v>
      </c>
      <c r="B6" s="140"/>
      <c r="C6" s="141"/>
    </row>
    <row r="7" spans="1:3" x14ac:dyDescent="0.25">
      <c r="A7" s="1"/>
      <c r="B7" s="1"/>
      <c r="C7" s="1"/>
    </row>
    <row r="8" spans="1:3" x14ac:dyDescent="0.25">
      <c r="A8" s="1"/>
      <c r="B8" s="1"/>
      <c r="C8" s="1"/>
    </row>
    <row r="9" spans="1:3" x14ac:dyDescent="0.25">
      <c r="A9" s="144" t="s">
        <v>6</v>
      </c>
      <c r="B9" s="145"/>
      <c r="C9" s="146"/>
    </row>
    <row r="10" spans="1:3" x14ac:dyDescent="0.25">
      <c r="A10" s="137"/>
      <c r="B10" s="138"/>
      <c r="C10" s="139"/>
    </row>
    <row r="11" spans="1:3" x14ac:dyDescent="0.25">
      <c r="A11" s="2"/>
      <c r="B11" s="1"/>
      <c r="C11" s="1"/>
    </row>
    <row r="12" spans="1:3" x14ac:dyDescent="0.25">
      <c r="A12" s="144" t="s">
        <v>7</v>
      </c>
      <c r="B12" s="145"/>
      <c r="C12" s="146"/>
    </row>
    <row r="13" spans="1:3" x14ac:dyDescent="0.25">
      <c r="A13" s="137"/>
      <c r="B13" s="138"/>
      <c r="C13" s="139"/>
    </row>
    <row r="14" spans="1:3" x14ac:dyDescent="0.25">
      <c r="A14" s="2"/>
      <c r="B14" s="1"/>
      <c r="C14" s="1"/>
    </row>
    <row r="15" spans="1:3" x14ac:dyDescent="0.25">
      <c r="A15" s="144" t="s">
        <v>8</v>
      </c>
      <c r="B15" s="145"/>
      <c r="C15" s="146"/>
    </row>
    <row r="16" spans="1:3" x14ac:dyDescent="0.25">
      <c r="A16" s="137" t="s">
        <v>9</v>
      </c>
      <c r="B16" s="138"/>
      <c r="C16" s="139"/>
    </row>
    <row r="17" spans="1:3" x14ac:dyDescent="0.25">
      <c r="A17" s="4"/>
      <c r="B17" s="5"/>
      <c r="C17" s="1"/>
    </row>
    <row r="18" spans="1:3" x14ac:dyDescent="0.25">
      <c r="A18" s="1"/>
      <c r="B18" s="1"/>
      <c r="C18" s="1"/>
    </row>
    <row r="19" spans="1:3" x14ac:dyDescent="0.25">
      <c r="A19" s="144" t="s">
        <v>10</v>
      </c>
      <c r="B19" s="144"/>
      <c r="C19" s="3" t="s">
        <v>11</v>
      </c>
    </row>
    <row r="20" spans="1:3" x14ac:dyDescent="0.25">
      <c r="A20" s="147" t="s">
        <v>12</v>
      </c>
      <c r="B20" s="147"/>
      <c r="C20" s="16"/>
    </row>
    <row r="21" spans="1:3" x14ac:dyDescent="0.25">
      <c r="A21" s="147" t="s">
        <v>13</v>
      </c>
      <c r="B21" s="147"/>
      <c r="C21" s="16"/>
    </row>
    <row r="22" spans="1:3" x14ac:dyDescent="0.25">
      <c r="A22" s="147" t="s">
        <v>14</v>
      </c>
      <c r="B22" s="147"/>
      <c r="C22" s="16"/>
    </row>
    <row r="23" spans="1:3" x14ac:dyDescent="0.25">
      <c r="A23" s="147" t="s">
        <v>15</v>
      </c>
      <c r="B23" s="147"/>
      <c r="C23" s="16"/>
    </row>
    <row r="24" spans="1:3" x14ac:dyDescent="0.25">
      <c r="A24" s="147" t="s">
        <v>16</v>
      </c>
      <c r="B24" s="147"/>
      <c r="C24" s="16"/>
    </row>
    <row r="25" spans="1:3" x14ac:dyDescent="0.25">
      <c r="A25" s="147" t="s">
        <v>17</v>
      </c>
      <c r="B25" s="147"/>
      <c r="C25" s="16"/>
    </row>
    <row r="26" spans="1:3" x14ac:dyDescent="0.25">
      <c r="A26" s="147" t="s">
        <v>18</v>
      </c>
      <c r="B26" s="147"/>
      <c r="C26" s="16"/>
    </row>
    <row r="27" spans="1:3" x14ac:dyDescent="0.25">
      <c r="A27" s="147" t="s">
        <v>19</v>
      </c>
      <c r="B27" s="147"/>
      <c r="C27" s="16"/>
    </row>
    <row r="28" spans="1:3" x14ac:dyDescent="0.25">
      <c r="A28" s="147" t="s">
        <v>20</v>
      </c>
      <c r="B28" s="147"/>
      <c r="C28" s="17"/>
    </row>
  </sheetData>
  <mergeCells count="22">
    <mergeCell ref="A25:B25"/>
    <mergeCell ref="A26:B26"/>
    <mergeCell ref="A27:B27"/>
    <mergeCell ref="A28:B28"/>
    <mergeCell ref="A19:B19"/>
    <mergeCell ref="A20:B20"/>
    <mergeCell ref="A21:B21"/>
    <mergeCell ref="A22:B22"/>
    <mergeCell ref="A23:B23"/>
    <mergeCell ref="A24:B24"/>
    <mergeCell ref="A16:C16"/>
    <mergeCell ref="B1:C1"/>
    <mergeCell ref="B2:C2"/>
    <mergeCell ref="B3:C3"/>
    <mergeCell ref="B4:C4"/>
    <mergeCell ref="B5:C5"/>
    <mergeCell ref="B6:C6"/>
    <mergeCell ref="A9:C9"/>
    <mergeCell ref="A10:C10"/>
    <mergeCell ref="A12:C12"/>
    <mergeCell ref="A13:C13"/>
    <mergeCell ref="A15:C15"/>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50BE6-EB17-4EE7-A7D8-4B1ECC215D15}">
  <sheetPr codeName="Sheet3"/>
  <dimension ref="A1:M19"/>
  <sheetViews>
    <sheetView zoomScale="90" zoomScaleNormal="90" workbookViewId="0">
      <selection activeCell="C24" sqref="C24"/>
    </sheetView>
  </sheetViews>
  <sheetFormatPr defaultRowHeight="15" x14ac:dyDescent="0.25"/>
  <cols>
    <col min="1" max="1" width="11.28515625" bestFit="1" customWidth="1"/>
    <col min="2" max="2" width="27" bestFit="1" customWidth="1"/>
    <col min="3" max="3" width="30.140625" bestFit="1" customWidth="1"/>
    <col min="4" max="4" width="19.28515625" customWidth="1"/>
    <col min="9" max="9" width="41.28515625" style="24" customWidth="1"/>
    <col min="10" max="10" width="59.85546875" customWidth="1"/>
    <col min="11" max="11" width="52.85546875" customWidth="1"/>
    <col min="12" max="12" width="18.140625" customWidth="1"/>
  </cols>
  <sheetData>
    <row r="1" spans="1:13" x14ac:dyDescent="0.25">
      <c r="A1" t="s">
        <v>21</v>
      </c>
      <c r="B1" t="s">
        <v>22</v>
      </c>
      <c r="C1" t="s">
        <v>23</v>
      </c>
      <c r="G1" t="s">
        <v>24</v>
      </c>
      <c r="H1" t="s">
        <v>25</v>
      </c>
      <c r="I1" s="24" t="s">
        <v>26</v>
      </c>
      <c r="J1" t="s">
        <v>27</v>
      </c>
      <c r="K1" t="s">
        <v>28</v>
      </c>
      <c r="L1" t="s">
        <v>29</v>
      </c>
      <c r="M1" t="s">
        <v>30</v>
      </c>
    </row>
    <row r="2" spans="1:13" x14ac:dyDescent="0.25">
      <c r="A2" t="s">
        <v>31</v>
      </c>
      <c r="B2" t="s">
        <v>32</v>
      </c>
      <c r="C2" t="s">
        <v>32</v>
      </c>
      <c r="G2" t="s">
        <v>33</v>
      </c>
      <c r="I2" s="24" t="s">
        <v>32</v>
      </c>
      <c r="J2" t="str">
        <f>IF(G2&lt;&gt;"","&lt;p&gt;This lesson is one part of the "&amp;G2&amp;" course. Visit the course to find more lessons!&lt;/p&gt;","")</f>
        <v>&lt;p&gt;This lesson is one part of the FactoryTalk Analytics DataView Fundamentals 3.03 (FTADV) course. Visit the course to find more lessons!&lt;/p&gt;</v>
      </c>
      <c r="K2" t="str">
        <f>IF(H2&lt;&gt;"","&lt;p&gt;In the "&amp;H2&amp;" lesson you will&lt;/p&gt;","")</f>
        <v/>
      </c>
      <c r="L2" t="str">
        <f>IF(I1&lt;&gt;"",_xlfn.CONCAT(I1,I2),"")</f>
        <v>Copied3</v>
      </c>
      <c r="M2" t="str">
        <f>IF(K2&lt;&gt;"",L2,"")</f>
        <v/>
      </c>
    </row>
    <row r="3" spans="1:13" x14ac:dyDescent="0.25">
      <c r="A3" t="s">
        <v>32</v>
      </c>
      <c r="B3" t="s">
        <v>34</v>
      </c>
      <c r="C3" t="s">
        <v>32</v>
      </c>
      <c r="G3" t="s">
        <v>32</v>
      </c>
      <c r="H3" t="s">
        <v>35</v>
      </c>
      <c r="I3" s="24" t="s">
        <v>32</v>
      </c>
      <c r="J3" t="str">
        <f t="shared" ref="J3:J18" si="0">IF(G3&lt;&gt;"","&lt;p&gt;This lesson is one part of the "&amp;G3&amp;" course. Visit the course to find more lessons!&lt;/p&gt;","")</f>
        <v/>
      </c>
      <c r="K3" t="str">
        <f>IF(H3&lt;&gt;"","&lt;p&gt;In the "&amp;H3&amp;" lesson you will&lt;/p&gt;","")</f>
        <v>&lt;p&gt;In the Preparing for a FactoryTalk Analytics DataView Installation (PFI) lesson you will&lt;/p&gt;</v>
      </c>
      <c r="L3" t="str">
        <f t="shared" ref="L3:L19" si="1">IF(I2&lt;&gt;"",_xlfn.CONCAT(I2,I3),"")</f>
        <v/>
      </c>
      <c r="M3" t="str">
        <f>IF(K3&lt;&gt;"",L3,"")</f>
        <v/>
      </c>
    </row>
    <row r="4" spans="1:13" ht="30" x14ac:dyDescent="0.25">
      <c r="A4" t="s">
        <v>32</v>
      </c>
      <c r="B4" t="s">
        <v>32</v>
      </c>
      <c r="C4" t="s">
        <v>36</v>
      </c>
      <c r="G4" t="s">
        <v>32</v>
      </c>
      <c r="H4" t="s">
        <v>32</v>
      </c>
      <c r="I4" s="24" t="s">
        <v>37</v>
      </c>
      <c r="J4" t="str">
        <f t="shared" si="0"/>
        <v/>
      </c>
      <c r="K4" t="str">
        <f t="shared" ref="K4:K18" si="2">IF(H4&lt;&gt;"","&lt;p&gt;In the "&amp;H4&amp;" lesson you will&lt;/p&gt;","")</f>
        <v/>
      </c>
      <c r="L4" t="str">
        <f>IF(I3&lt;&gt;"",_xlfn.CONCAT(I3,I4),"")</f>
        <v/>
      </c>
      <c r="M4" t="str">
        <f t="shared" ref="M4:M18" si="3">IF(K4&lt;&gt;"",L4,"")</f>
        <v/>
      </c>
    </row>
    <row r="5" spans="1:13" ht="30" x14ac:dyDescent="0.25">
      <c r="A5" t="s">
        <v>32</v>
      </c>
      <c r="B5" t="s">
        <v>32</v>
      </c>
      <c r="C5" t="s">
        <v>38</v>
      </c>
      <c r="G5" t="s">
        <v>32</v>
      </c>
      <c r="H5" t="s">
        <v>32</v>
      </c>
      <c r="I5" s="24" t="s">
        <v>39</v>
      </c>
      <c r="J5" t="str">
        <f t="shared" si="0"/>
        <v/>
      </c>
      <c r="K5" t="str">
        <f t="shared" si="2"/>
        <v/>
      </c>
      <c r="L5" t="str">
        <f>IF(I4&lt;&gt;"",_xlfn.CONCAT(I4,I5),"")</f>
        <v>1Understanding Minimum System Requirements2Identifying Considerations for Deployment Architecture</v>
      </c>
      <c r="M5" t="str">
        <f t="shared" si="3"/>
        <v/>
      </c>
    </row>
    <row r="6" spans="1:13" x14ac:dyDescent="0.25">
      <c r="A6" t="s">
        <v>32</v>
      </c>
      <c r="B6" t="s">
        <v>32</v>
      </c>
      <c r="C6" t="s">
        <v>40</v>
      </c>
      <c r="G6" t="s">
        <v>32</v>
      </c>
      <c r="H6" t="s">
        <v>32</v>
      </c>
      <c r="I6" s="24" t="s">
        <v>41</v>
      </c>
      <c r="J6" t="str">
        <f t="shared" si="0"/>
        <v/>
      </c>
      <c r="K6" t="str">
        <f t="shared" si="2"/>
        <v/>
      </c>
      <c r="L6" t="str">
        <f t="shared" si="1"/>
        <v>2Identifying Considerations for Deployment Architecture3Identifying Core System Components</v>
      </c>
      <c r="M6" t="str">
        <f t="shared" si="3"/>
        <v/>
      </c>
    </row>
    <row r="7" spans="1:13" ht="30" x14ac:dyDescent="0.25">
      <c r="A7" t="s">
        <v>32</v>
      </c>
      <c r="B7" t="s">
        <v>32</v>
      </c>
      <c r="C7" t="s">
        <v>42</v>
      </c>
      <c r="G7" t="s">
        <v>32</v>
      </c>
      <c r="H7" t="s">
        <v>32</v>
      </c>
      <c r="I7" s="24" t="s">
        <v>43</v>
      </c>
      <c r="J7" t="str">
        <f t="shared" si="0"/>
        <v/>
      </c>
      <c r="K7" t="str">
        <f t="shared" si="2"/>
        <v/>
      </c>
      <c r="L7" t="str">
        <f>IF(I6&lt;&gt;"",_xlfn.CONCAT(I6,I7),"")</f>
        <v>3Identifying Core System Components4Assessment: Preparing for a FactoryTalk Analytics DataView Installation</v>
      </c>
      <c r="M7" t="str">
        <f t="shared" si="3"/>
        <v/>
      </c>
    </row>
    <row r="8" spans="1:13" x14ac:dyDescent="0.25">
      <c r="A8" t="s">
        <v>32</v>
      </c>
      <c r="B8" t="s">
        <v>44</v>
      </c>
      <c r="C8" t="s">
        <v>32</v>
      </c>
      <c r="G8" t="s">
        <v>32</v>
      </c>
      <c r="H8" t="s">
        <v>45</v>
      </c>
      <c r="I8" s="24" t="s">
        <v>32</v>
      </c>
      <c r="J8" t="str">
        <f t="shared" si="0"/>
        <v/>
      </c>
      <c r="K8" t="str">
        <f t="shared" si="2"/>
        <v>&lt;p&gt;In the Performing a FactoryTalk Analytics DataView Installation (INST) lesson you will&lt;/p&gt;</v>
      </c>
      <c r="L8" t="str">
        <f>IF(I7&lt;&gt;"",_xlfn.CONCAT(I7,I8),"")</f>
        <v>4Assessment: Preparing for a FactoryTalk Analytics DataView Installation</v>
      </c>
      <c r="M8" t="str">
        <f t="shared" si="3"/>
        <v>4Assessment: Preparing for a FactoryTalk Analytics DataView Installation</v>
      </c>
    </row>
    <row r="9" spans="1:13" ht="45" x14ac:dyDescent="0.25">
      <c r="A9" t="s">
        <v>32</v>
      </c>
      <c r="B9" t="s">
        <v>32</v>
      </c>
      <c r="C9" t="s">
        <v>46</v>
      </c>
      <c r="G9" t="s">
        <v>32</v>
      </c>
      <c r="H9" t="s">
        <v>32</v>
      </c>
      <c r="I9" s="24" t="s">
        <v>47</v>
      </c>
      <c r="J9" t="str">
        <f t="shared" si="0"/>
        <v/>
      </c>
      <c r="K9" t="str">
        <f t="shared" si="2"/>
        <v/>
      </c>
      <c r="L9" t="str">
        <f t="shared" si="1"/>
        <v/>
      </c>
      <c r="M9" t="str">
        <f t="shared" si="3"/>
        <v/>
      </c>
    </row>
    <row r="10" spans="1:13" ht="30" x14ac:dyDescent="0.25">
      <c r="A10" t="s">
        <v>32</v>
      </c>
      <c r="B10" t="s">
        <v>32</v>
      </c>
      <c r="C10" t="s">
        <v>48</v>
      </c>
      <c r="G10" t="s">
        <v>32</v>
      </c>
      <c r="H10" t="s">
        <v>32</v>
      </c>
      <c r="I10" s="24" t="s">
        <v>49</v>
      </c>
      <c r="J10" t="str">
        <f t="shared" si="0"/>
        <v/>
      </c>
      <c r="K10" t="str">
        <f t="shared" si="2"/>
        <v/>
      </c>
      <c r="L10" t="str">
        <f>IF(I9&lt;&gt;"",_xlfn.CONCAT(I9,I10),"")</f>
        <v>5Reviewing the FactoryTalk Analytics DataView Deployment Architecture and Installation PackagesDeploying FactoryTalk Analytics DataView in Standard Mode using Installer</v>
      </c>
      <c r="M10" t="str">
        <f t="shared" si="3"/>
        <v/>
      </c>
    </row>
    <row r="11" spans="1:13" ht="30" x14ac:dyDescent="0.25">
      <c r="A11" t="s">
        <v>32</v>
      </c>
      <c r="B11" t="s">
        <v>32</v>
      </c>
      <c r="C11" t="s">
        <v>40</v>
      </c>
      <c r="G11" t="s">
        <v>32</v>
      </c>
      <c r="H11" t="s">
        <v>32</v>
      </c>
      <c r="I11" s="24" t="s">
        <v>50</v>
      </c>
      <c r="J11" t="str">
        <f t="shared" si="0"/>
        <v/>
      </c>
      <c r="K11" t="str">
        <f t="shared" si="2"/>
        <v/>
      </c>
      <c r="L11" t="str">
        <f t="shared" si="1"/>
        <v>Deploying FactoryTalk Analytics DataView in Standard Mode using InstallerApplying Certificates for FactoryTalk Analytics  DataView</v>
      </c>
      <c r="M11" t="str">
        <f t="shared" si="3"/>
        <v/>
      </c>
    </row>
    <row r="12" spans="1:13" x14ac:dyDescent="0.25">
      <c r="A12" t="s">
        <v>32</v>
      </c>
      <c r="B12" t="s">
        <v>32</v>
      </c>
      <c r="C12" t="s">
        <v>51</v>
      </c>
      <c r="G12" t="s">
        <v>32</v>
      </c>
      <c r="H12" t="s">
        <v>32</v>
      </c>
      <c r="I12" s="24" t="s">
        <v>52</v>
      </c>
      <c r="J12" t="str">
        <f t="shared" si="0"/>
        <v/>
      </c>
      <c r="K12" t="str">
        <f t="shared" si="2"/>
        <v/>
      </c>
      <c r="L12" t="str">
        <f t="shared" si="1"/>
        <v>Applying Certificates for FactoryTalk Analytics  DataViewDeploying FactoryTalk Info Service</v>
      </c>
      <c r="M12" t="str">
        <f t="shared" si="3"/>
        <v/>
      </c>
    </row>
    <row r="13" spans="1:13" x14ac:dyDescent="0.25">
      <c r="G13" t="s">
        <v>32</v>
      </c>
      <c r="H13" t="s">
        <v>32</v>
      </c>
      <c r="I13" s="24" t="s">
        <v>53</v>
      </c>
      <c r="J13" t="str">
        <f t="shared" si="0"/>
        <v/>
      </c>
      <c r="K13" t="str">
        <f t="shared" si="2"/>
        <v/>
      </c>
      <c r="L13" t="str">
        <f t="shared" si="1"/>
        <v>Deploying FactoryTalk Info ServiceVerifying DataView Services and Installation</v>
      </c>
      <c r="M13" t="str">
        <f t="shared" si="3"/>
        <v/>
      </c>
    </row>
    <row r="14" spans="1:13" ht="30" x14ac:dyDescent="0.25">
      <c r="G14" t="s">
        <v>32</v>
      </c>
      <c r="H14" t="s">
        <v>32</v>
      </c>
      <c r="I14" s="24" t="s">
        <v>54</v>
      </c>
      <c r="J14" t="str">
        <f t="shared" si="0"/>
        <v/>
      </c>
      <c r="K14" t="str">
        <f t="shared" si="2"/>
        <v/>
      </c>
      <c r="L14" t="str">
        <f t="shared" si="1"/>
        <v>Verifying DataView Services and InstallationAssessment: Performing an Advanced FactoryTalk Analytics DataView Installation</v>
      </c>
      <c r="M14" t="str">
        <f t="shared" si="3"/>
        <v/>
      </c>
    </row>
    <row r="15" spans="1:13" x14ac:dyDescent="0.25">
      <c r="G15" t="s">
        <v>32</v>
      </c>
      <c r="H15" t="s">
        <v>32</v>
      </c>
      <c r="I15" s="24" t="s">
        <v>55</v>
      </c>
      <c r="J15" t="str">
        <f t="shared" si="0"/>
        <v/>
      </c>
      <c r="K15" t="str">
        <f t="shared" si="2"/>
        <v/>
      </c>
      <c r="L15" t="str">
        <f t="shared" si="1"/>
        <v>Assessment: Performing an Advanced FactoryTalk Analytics DataView InstallationPreparing for Installation</v>
      </c>
      <c r="M15" t="str">
        <f t="shared" si="3"/>
        <v/>
      </c>
    </row>
    <row r="16" spans="1:13" x14ac:dyDescent="0.25">
      <c r="G16" t="s">
        <v>32</v>
      </c>
      <c r="H16" t="s">
        <v>32</v>
      </c>
      <c r="I16" s="24" t="s">
        <v>56</v>
      </c>
      <c r="J16" t="str">
        <f t="shared" si="0"/>
        <v/>
      </c>
      <c r="K16" t="str">
        <f t="shared" si="2"/>
        <v/>
      </c>
      <c r="L16" t="str">
        <f t="shared" si="1"/>
        <v>Preparing for InstallationInstalling R Software</v>
      </c>
      <c r="M16" t="str">
        <f t="shared" si="3"/>
        <v/>
      </c>
    </row>
    <row r="17" spans="7:13" ht="30" x14ac:dyDescent="0.25">
      <c r="G17" t="s">
        <v>32</v>
      </c>
      <c r="H17" t="s">
        <v>32</v>
      </c>
      <c r="I17" s="24" t="s">
        <v>57</v>
      </c>
      <c r="J17" t="str">
        <f t="shared" si="0"/>
        <v/>
      </c>
      <c r="K17" t="str">
        <f t="shared" si="2"/>
        <v/>
      </c>
      <c r="L17" t="str">
        <f t="shared" si="1"/>
        <v>Installing R SoftwareCreating and Importing FactoryTalk Analytics DataView Users</v>
      </c>
      <c r="M17" t="str">
        <f t="shared" si="3"/>
        <v/>
      </c>
    </row>
    <row r="18" spans="7:13" ht="30" x14ac:dyDescent="0.25">
      <c r="G18" t="s">
        <v>32</v>
      </c>
      <c r="H18" t="s">
        <v>32</v>
      </c>
      <c r="I18" s="24" t="s">
        <v>58</v>
      </c>
      <c r="J18" t="str">
        <f t="shared" si="0"/>
        <v/>
      </c>
      <c r="K18" t="str">
        <f t="shared" si="2"/>
        <v/>
      </c>
      <c r="L18" t="str">
        <f t="shared" si="1"/>
        <v>Creating and Importing FactoryTalk Analytics DataView UsersVerifying FactoryTalk Analytics DataView Services</v>
      </c>
      <c r="M18" t="str">
        <f t="shared" si="3"/>
        <v/>
      </c>
    </row>
    <row r="19" spans="7:13" x14ac:dyDescent="0.25">
      <c r="L19" t="str">
        <f t="shared" si="1"/>
        <v>Verifying FactoryTalk Analytics DataView Services</v>
      </c>
    </row>
  </sheetData>
  <phoneticPr fontId="6" type="noConversion"/>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42B44-C061-4A1F-9D85-F92EB230FDCE}">
  <sheetPr codeName="Sheet12">
    <pageSetUpPr fitToPage="1"/>
  </sheetPr>
  <dimension ref="A1:M43"/>
  <sheetViews>
    <sheetView topLeftCell="A10" zoomScaleNormal="100" workbookViewId="0">
      <selection activeCell="B1" sqref="B1:C6"/>
    </sheetView>
  </sheetViews>
  <sheetFormatPr defaultColWidth="9.140625" defaultRowHeight="12.75" x14ac:dyDescent="0.2"/>
  <cols>
    <col min="1" max="1" width="22.85546875" style="1" customWidth="1"/>
    <col min="2" max="2" width="12.85546875" style="1" customWidth="1"/>
    <col min="3" max="3" width="68.85546875" style="1" customWidth="1"/>
    <col min="4" max="16384" width="9.140625" style="1"/>
  </cols>
  <sheetData>
    <row r="1" spans="1:12" ht="12.75" customHeight="1" x14ac:dyDescent="0.2">
      <c r="A1" s="3" t="s">
        <v>0</v>
      </c>
      <c r="B1" s="142" t="s">
        <v>59</v>
      </c>
      <c r="C1" s="143"/>
      <c r="L1" s="3"/>
    </row>
    <row r="2" spans="1:12" ht="12.75" customHeight="1" x14ac:dyDescent="0.2">
      <c r="A2" s="3" t="s">
        <v>1</v>
      </c>
      <c r="B2" s="142" t="s">
        <v>60</v>
      </c>
      <c r="C2" s="143"/>
      <c r="L2" s="3"/>
    </row>
    <row r="3" spans="1:12" ht="12.75" customHeight="1" x14ac:dyDescent="0.2">
      <c r="A3" s="3" t="s">
        <v>2</v>
      </c>
      <c r="B3" s="142" t="s">
        <v>61</v>
      </c>
      <c r="C3" s="143"/>
      <c r="L3" s="3"/>
    </row>
    <row r="4" spans="1:12" ht="12.75" customHeight="1" x14ac:dyDescent="0.2">
      <c r="A4" s="3" t="s">
        <v>3</v>
      </c>
      <c r="B4" s="148">
        <v>44573</v>
      </c>
      <c r="C4" s="149"/>
      <c r="L4" s="3"/>
    </row>
    <row r="5" spans="1:12" ht="12.75" customHeight="1" x14ac:dyDescent="0.2">
      <c r="A5" s="3" t="s">
        <v>4</v>
      </c>
      <c r="B5" s="148">
        <v>44604</v>
      </c>
      <c r="C5" s="149"/>
      <c r="L5" s="3"/>
    </row>
    <row r="6" spans="1:12" ht="12.75" customHeight="1" x14ac:dyDescent="0.2">
      <c r="A6" s="3" t="s">
        <v>5</v>
      </c>
      <c r="B6" s="142" t="s">
        <v>62</v>
      </c>
      <c r="C6" s="143"/>
      <c r="L6" s="3"/>
    </row>
    <row r="7" spans="1:12" ht="12.4" customHeight="1" x14ac:dyDescent="0.2"/>
    <row r="8" spans="1:12" ht="12.75" customHeight="1" x14ac:dyDescent="0.2"/>
    <row r="9" spans="1:12" ht="12.75" customHeight="1" x14ac:dyDescent="0.2"/>
    <row r="10" spans="1:12" ht="76.5" customHeight="1" x14ac:dyDescent="0.2"/>
    <row r="11" spans="1:12" ht="12.75" customHeight="1" x14ac:dyDescent="0.2"/>
    <row r="12" spans="1:12" ht="12.75" customHeight="1" x14ac:dyDescent="0.2"/>
    <row r="13" spans="1:12" ht="76.5" customHeight="1" x14ac:dyDescent="0.2">
      <c r="A13" s="137"/>
      <c r="B13" s="138"/>
      <c r="C13" s="139"/>
    </row>
    <row r="14" spans="1:12" ht="12.75" customHeight="1" x14ac:dyDescent="0.2">
      <c r="A14" s="2"/>
      <c r="L14" s="2"/>
    </row>
    <row r="15" spans="1:12" ht="12.75" customHeight="1" x14ac:dyDescent="0.25">
      <c r="A15" s="144" t="s">
        <v>8</v>
      </c>
      <c r="B15" s="145"/>
      <c r="C15" s="146"/>
    </row>
    <row r="16" spans="1:12" ht="235.5" customHeight="1" x14ac:dyDescent="0.2">
      <c r="A16" s="137" t="s">
        <v>63</v>
      </c>
      <c r="B16" s="138"/>
      <c r="C16" s="139"/>
    </row>
    <row r="17" spans="1:13" ht="12.75" customHeight="1" x14ac:dyDescent="0.2">
      <c r="A17" s="4"/>
      <c r="B17" s="5"/>
      <c r="L17" s="4"/>
      <c r="M17" s="5"/>
    </row>
    <row r="19" spans="1:13" x14ac:dyDescent="0.2">
      <c r="A19" s="144" t="s">
        <v>10</v>
      </c>
      <c r="B19" s="144"/>
      <c r="C19" s="3" t="s">
        <v>11</v>
      </c>
    </row>
    <row r="20" spans="1:13" ht="15" x14ac:dyDescent="0.25">
      <c r="A20" s="147" t="s">
        <v>12</v>
      </c>
      <c r="B20" s="147"/>
      <c r="C20" s="20" t="s">
        <v>64</v>
      </c>
    </row>
    <row r="21" spans="1:13" x14ac:dyDescent="0.2">
      <c r="A21" s="147" t="s">
        <v>13</v>
      </c>
      <c r="B21" s="147"/>
      <c r="C21" s="6" t="s">
        <v>65</v>
      </c>
    </row>
    <row r="22" spans="1:13" x14ac:dyDescent="0.2">
      <c r="A22" s="147" t="s">
        <v>14</v>
      </c>
      <c r="B22" s="147"/>
      <c r="C22" s="6" t="s">
        <v>66</v>
      </c>
    </row>
    <row r="23" spans="1:13" x14ac:dyDescent="0.2">
      <c r="A23" s="147" t="s">
        <v>15</v>
      </c>
      <c r="B23" s="147"/>
      <c r="C23" s="6" t="s">
        <v>67</v>
      </c>
    </row>
    <row r="24" spans="1:13" x14ac:dyDescent="0.2">
      <c r="A24" s="147" t="s">
        <v>16</v>
      </c>
      <c r="B24" s="147"/>
      <c r="C24" s="6" t="s">
        <v>68</v>
      </c>
    </row>
    <row r="25" spans="1:13" x14ac:dyDescent="0.2">
      <c r="A25" s="147" t="s">
        <v>17</v>
      </c>
      <c r="B25" s="147"/>
      <c r="C25" s="6" t="s">
        <v>65</v>
      </c>
    </row>
    <row r="26" spans="1:13" x14ac:dyDescent="0.2">
      <c r="A26" s="147" t="s">
        <v>18</v>
      </c>
      <c r="B26" s="147"/>
      <c r="C26" s="6"/>
    </row>
    <row r="27" spans="1:13" x14ac:dyDescent="0.2">
      <c r="A27" s="147" t="s">
        <v>19</v>
      </c>
      <c r="B27" s="147"/>
      <c r="C27" s="6" t="s">
        <v>69</v>
      </c>
    </row>
    <row r="28" spans="1:13" x14ac:dyDescent="0.2">
      <c r="A28" s="147" t="s">
        <v>70</v>
      </c>
      <c r="B28" s="147"/>
      <c r="C28" s="6" t="s">
        <v>68</v>
      </c>
    </row>
    <row r="42" spans="1:1" x14ac:dyDescent="0.2">
      <c r="A42" s="3" t="s">
        <v>71</v>
      </c>
    </row>
    <row r="43" spans="1:1" x14ac:dyDescent="0.2">
      <c r="A43" s="1" t="s">
        <v>72</v>
      </c>
    </row>
  </sheetData>
  <mergeCells count="19">
    <mergeCell ref="A28:B28"/>
    <mergeCell ref="A22:B22"/>
    <mergeCell ref="A23:B23"/>
    <mergeCell ref="A24:B24"/>
    <mergeCell ref="A25:B25"/>
    <mergeCell ref="A26:B26"/>
    <mergeCell ref="A27:B27"/>
    <mergeCell ref="A21:B21"/>
    <mergeCell ref="B1:C1"/>
    <mergeCell ref="B2:C2"/>
    <mergeCell ref="B3:C3"/>
    <mergeCell ref="B4:C4"/>
    <mergeCell ref="B5:C5"/>
    <mergeCell ref="B6:C6"/>
    <mergeCell ref="A13:C13"/>
    <mergeCell ref="A15:C15"/>
    <mergeCell ref="A16:C16"/>
    <mergeCell ref="A19:B19"/>
    <mergeCell ref="A20:B20"/>
  </mergeCells>
  <hyperlinks>
    <hyperlink ref="C20" r:id="rId1" xr:uid="{D7F48811-3790-47AF-B845-E6842F8B15F1}"/>
  </hyperlinks>
  <pageMargins left="0.25" right="0.25" top="0.75" bottom="0.75" header="0.3" footer="0.3"/>
  <pageSetup scale="99" orientation="portrait" horizontalDpi="1200" verticalDpi="1200" r:id="rId2"/>
  <headerFooter>
    <oddHeader>&amp;L&amp;"-,Bold"&amp;12&amp;A&amp;C&amp;"-,Bold"&amp;12&amp;F&amp;R&amp;"-,Bold"&amp;12&amp;D</oddHeader>
    <oddFooter>&amp;C&amp;"-,Bold"&amp;12Page &amp;P of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1745" r:id="rId5" name="Button 1">
              <controlPr defaultSize="0" print="0" autoFill="0" autoPict="0" macro="[0]!All_Data_filled_main">
                <anchor moveWithCells="1">
                  <from>
                    <xdr:col>0</xdr:col>
                    <xdr:colOff>381000</xdr:colOff>
                    <xdr:row>29</xdr:row>
                    <xdr:rowOff>142875</xdr:rowOff>
                  </from>
                  <to>
                    <xdr:col>2</xdr:col>
                    <xdr:colOff>209550</xdr:colOff>
                    <xdr:row>36</xdr:row>
                    <xdr:rowOff>133350</xdr:rowOff>
                  </to>
                </anchor>
              </controlPr>
            </control>
          </mc:Choice>
        </mc:AlternateContent>
        <mc:AlternateContent xmlns:mc="http://schemas.openxmlformats.org/markup-compatibility/2006">
          <mc:Choice Requires="x14">
            <control shapeId="31746" r:id="rId6" name="Button 2">
              <controlPr defaultSize="0" print="0" autoFill="0" autoPict="0" macro="[0]!Save_CSV">
                <anchor moveWithCells="1" sizeWithCells="1">
                  <from>
                    <xdr:col>2</xdr:col>
                    <xdr:colOff>3524250</xdr:colOff>
                    <xdr:row>29</xdr:row>
                    <xdr:rowOff>95250</xdr:rowOff>
                  </from>
                  <to>
                    <xdr:col>5</xdr:col>
                    <xdr:colOff>285750</xdr:colOff>
                    <xdr:row>36</xdr:row>
                    <xdr:rowOff>76200</xdr:rowOff>
                  </to>
                </anchor>
              </controlPr>
            </control>
          </mc:Choice>
        </mc:AlternateContent>
        <mc:AlternateContent xmlns:mc="http://schemas.openxmlformats.org/markup-compatibility/2006">
          <mc:Choice Requires="x14">
            <control shapeId="31747" r:id="rId7" name="Button 3">
              <controlPr defaultSize="0" print="0" autoFill="0" autoPict="0" macro="[0]!refresh">
                <anchor moveWithCells="1" sizeWithCells="1">
                  <from>
                    <xdr:col>0</xdr:col>
                    <xdr:colOff>257175</xdr:colOff>
                    <xdr:row>43</xdr:row>
                    <xdr:rowOff>152400</xdr:rowOff>
                  </from>
                  <to>
                    <xdr:col>1</xdr:col>
                    <xdr:colOff>866775</xdr:colOff>
                    <xdr:row>48</xdr:row>
                    <xdr:rowOff>114300</xdr:rowOff>
                  </to>
                </anchor>
              </controlPr>
            </control>
          </mc:Choice>
        </mc:AlternateContent>
        <mc:AlternateContent xmlns:mc="http://schemas.openxmlformats.org/markup-compatibility/2006">
          <mc:Choice Requires="x14">
            <control shapeId="31748" r:id="rId8" name="Button 4">
              <controlPr defaultSize="0" print="0" autoFill="0" autoPict="0" macro="[0]!Lesson_number">
                <anchor moveWithCells="1" sizeWithCells="1">
                  <from>
                    <xdr:col>6</xdr:col>
                    <xdr:colOff>76200</xdr:colOff>
                    <xdr:row>29</xdr:row>
                    <xdr:rowOff>47625</xdr:rowOff>
                  </from>
                  <to>
                    <xdr:col>10</xdr:col>
                    <xdr:colOff>47625</xdr:colOff>
                    <xdr:row>35</xdr:row>
                    <xdr:rowOff>161925</xdr:rowOff>
                  </to>
                </anchor>
              </controlPr>
            </control>
          </mc:Choice>
        </mc:AlternateContent>
        <mc:AlternateContent xmlns:mc="http://schemas.openxmlformats.org/markup-compatibility/2006">
          <mc:Choice Requires="x14">
            <control shapeId="31749" r:id="rId9" name="Button 5">
              <controlPr defaultSize="0" print="0" autoFill="0" autoPict="0" macro="[0]!fill_course_details">
                <anchor moveWithCells="1" sizeWithCells="1">
                  <from>
                    <xdr:col>2</xdr:col>
                    <xdr:colOff>466725</xdr:colOff>
                    <xdr:row>43</xdr:row>
                    <xdr:rowOff>161925</xdr:rowOff>
                  </from>
                  <to>
                    <xdr:col>2</xdr:col>
                    <xdr:colOff>3152775</xdr:colOff>
                    <xdr:row>48</xdr:row>
                    <xdr:rowOff>85725</xdr:rowOff>
                  </to>
                </anchor>
              </controlPr>
            </control>
          </mc:Choice>
        </mc:AlternateContent>
        <mc:AlternateContent xmlns:mc="http://schemas.openxmlformats.org/markup-compatibility/2006">
          <mc:Choice Requires="x14">
            <control shapeId="31750" r:id="rId10" name="Button 6">
              <controlPr defaultSize="0" print="0" autoFill="0" autoPict="0" macro="[0]!Get_Courses_From_CSV">
                <anchor moveWithCells="1" sizeWithCells="1">
                  <from>
                    <xdr:col>2</xdr:col>
                    <xdr:colOff>3581400</xdr:colOff>
                    <xdr:row>43</xdr:row>
                    <xdr:rowOff>152400</xdr:rowOff>
                  </from>
                  <to>
                    <xdr:col>4</xdr:col>
                    <xdr:colOff>381000</xdr:colOff>
                    <xdr:row>48</xdr:row>
                    <xdr:rowOff>104775</xdr:rowOff>
                  </to>
                </anchor>
              </controlPr>
            </control>
          </mc:Choice>
        </mc:AlternateContent>
        <mc:AlternateContent xmlns:mc="http://schemas.openxmlformats.org/markup-compatibility/2006">
          <mc:Choice Requires="x14">
            <control shapeId="31751" r:id="rId11" name="Button 7">
              <controlPr defaultSize="0" print="0" autoFill="0" autoPict="0" macro="[0]!Add_Lesson_title" altText="Add Lesson Title">
                <anchor moveWithCells="1" sizeWithCells="1">
                  <from>
                    <xdr:col>10</xdr:col>
                    <xdr:colOff>304800</xdr:colOff>
                    <xdr:row>29</xdr:row>
                    <xdr:rowOff>47625</xdr:rowOff>
                  </from>
                  <to>
                    <xdr:col>14</xdr:col>
                    <xdr:colOff>304800</xdr:colOff>
                    <xdr:row>36</xdr:row>
                    <xdr:rowOff>0</xdr:rowOff>
                  </to>
                </anchor>
              </controlPr>
            </control>
          </mc:Choice>
        </mc:AlternateContent>
        <mc:AlternateContent xmlns:mc="http://schemas.openxmlformats.org/markup-compatibility/2006">
          <mc:Choice Requires="x14">
            <control shapeId="31752" r:id="rId12" name="Button 8">
              <controlPr defaultSize="0" print="0" autoFill="0" autoPict="0" macro="[0]!Delete_Exporter" altText="Reset_Exporter">
                <anchor moveWithCells="1">
                  <from>
                    <xdr:col>2</xdr:col>
                    <xdr:colOff>514350</xdr:colOff>
                    <xdr:row>29</xdr:row>
                    <xdr:rowOff>95250</xdr:rowOff>
                  </from>
                  <to>
                    <xdr:col>2</xdr:col>
                    <xdr:colOff>2800350</xdr:colOff>
                    <xdr:row>36</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FBF32-6C03-4603-A2FE-790F31DE5E9C}">
  <sheetPr codeName="Sheet2">
    <pageSetUpPr fitToPage="1"/>
  </sheetPr>
  <dimension ref="A1:G73"/>
  <sheetViews>
    <sheetView zoomScale="90" zoomScaleNormal="90" workbookViewId="0">
      <pane ySplit="6" topLeftCell="A7" activePane="bottomLeft" state="frozenSplit"/>
      <selection pane="bottomLeft" activeCell="C8" sqref="C8"/>
    </sheetView>
  </sheetViews>
  <sheetFormatPr defaultColWidth="9.140625" defaultRowHeight="12.75" x14ac:dyDescent="0.2"/>
  <cols>
    <col min="1" max="1" width="12.140625" style="7" bestFit="1" customWidth="1"/>
    <col min="2" max="2" width="11.42578125" style="1" customWidth="1"/>
    <col min="3" max="3" width="26.140625" style="1" customWidth="1"/>
    <col min="4" max="5" width="31.85546875" style="1" customWidth="1"/>
    <col min="6" max="6" width="87.85546875" style="1" bestFit="1" customWidth="1"/>
    <col min="7" max="7" width="17" style="7" bestFit="1" customWidth="1"/>
    <col min="8" max="16384" width="9.140625" style="1"/>
  </cols>
  <sheetData>
    <row r="1" spans="1:7" x14ac:dyDescent="0.2">
      <c r="A1" s="150" t="s">
        <v>73</v>
      </c>
      <c r="B1" s="150"/>
      <c r="C1" s="147" t="e">
        <f>Course_Code</f>
        <v>#REF!</v>
      </c>
      <c r="D1" s="147"/>
      <c r="E1" s="147"/>
      <c r="F1" s="147"/>
      <c r="G1" s="147"/>
    </row>
    <row r="3" spans="1:7" ht="17.649999999999999" customHeight="1" x14ac:dyDescent="0.2">
      <c r="A3" s="150" t="s">
        <v>74</v>
      </c>
      <c r="B3" s="150"/>
      <c r="C3" s="150"/>
      <c r="D3" s="150"/>
      <c r="E3" s="150"/>
      <c r="F3" s="150"/>
      <c r="G3" s="150"/>
    </row>
    <row r="4" spans="1:7" ht="76.5" customHeight="1" x14ac:dyDescent="0.2">
      <c r="A4" s="151" t="e">
        <f>Course_Description</f>
        <v>#REF!</v>
      </c>
      <c r="B4" s="152"/>
      <c r="C4" s="152"/>
      <c r="D4" s="152"/>
      <c r="E4" s="152"/>
      <c r="F4" s="152"/>
      <c r="G4" s="153"/>
    </row>
    <row r="5" spans="1:7" ht="15" x14ac:dyDescent="0.25">
      <c r="A5" s="14"/>
    </row>
    <row r="6" spans="1:7" x14ac:dyDescent="0.2">
      <c r="A6" s="10" t="s">
        <v>75</v>
      </c>
      <c r="B6" s="11" t="s">
        <v>76</v>
      </c>
      <c r="C6" s="11" t="s">
        <v>77</v>
      </c>
      <c r="D6" s="11" t="s">
        <v>78</v>
      </c>
      <c r="E6" s="11" t="s">
        <v>79</v>
      </c>
      <c r="F6" s="11" t="s">
        <v>80</v>
      </c>
      <c r="G6" s="12" t="s">
        <v>81</v>
      </c>
    </row>
    <row r="7" spans="1:7" x14ac:dyDescent="0.2">
      <c r="A7" s="8"/>
      <c r="B7" s="8" t="s">
        <v>32</v>
      </c>
      <c r="C7" s="29"/>
      <c r="D7" s="29"/>
      <c r="E7" s="29"/>
      <c r="F7" s="29"/>
      <c r="G7" s="29"/>
    </row>
    <row r="8" spans="1:7" x14ac:dyDescent="0.2">
      <c r="A8" s="8"/>
      <c r="B8" s="8" t="s">
        <v>32</v>
      </c>
      <c r="C8" s="29"/>
      <c r="D8" s="29"/>
      <c r="E8" s="29"/>
      <c r="F8" s="29"/>
      <c r="G8" s="29"/>
    </row>
    <row r="9" spans="1:7" x14ac:dyDescent="0.2">
      <c r="A9" s="8"/>
      <c r="B9" s="8" t="s">
        <v>32</v>
      </c>
      <c r="C9" s="29"/>
      <c r="D9" s="29"/>
      <c r="E9" s="29"/>
      <c r="F9" s="29"/>
      <c r="G9" s="29"/>
    </row>
    <row r="10" spans="1:7" x14ac:dyDescent="0.2">
      <c r="A10" s="8"/>
      <c r="B10" s="8" t="s">
        <v>32</v>
      </c>
      <c r="C10" s="29"/>
      <c r="D10" s="29"/>
      <c r="E10" s="29"/>
      <c r="F10" s="29"/>
      <c r="G10" s="29"/>
    </row>
    <row r="11" spans="1:7" x14ac:dyDescent="0.2">
      <c r="A11" s="8"/>
      <c r="B11" s="8" t="s">
        <v>32</v>
      </c>
      <c r="C11" s="29"/>
      <c r="D11" s="29"/>
      <c r="E11" s="29"/>
      <c r="F11" s="29"/>
      <c r="G11" s="29"/>
    </row>
    <row r="12" spans="1:7" x14ac:dyDescent="0.2">
      <c r="A12" s="8"/>
      <c r="B12" s="8" t="s">
        <v>32</v>
      </c>
      <c r="C12" s="29"/>
      <c r="D12" s="29"/>
      <c r="E12" s="29"/>
      <c r="F12" s="29"/>
      <c r="G12" s="29"/>
    </row>
    <row r="13" spans="1:7" x14ac:dyDescent="0.2">
      <c r="A13" s="9"/>
      <c r="B13" s="8"/>
      <c r="C13" s="29"/>
      <c r="D13" s="29"/>
      <c r="E13" s="29"/>
      <c r="F13" s="29"/>
      <c r="G13" s="29"/>
    </row>
    <row r="14" spans="1:7" x14ac:dyDescent="0.2">
      <c r="A14" s="9"/>
      <c r="B14" s="8"/>
      <c r="C14" s="29"/>
      <c r="D14" s="29"/>
      <c r="E14" s="29"/>
      <c r="F14" s="29"/>
      <c r="G14" s="29"/>
    </row>
    <row r="15" spans="1:7" x14ac:dyDescent="0.2">
      <c r="A15" s="1"/>
      <c r="G15" s="1"/>
    </row>
    <row r="16" spans="1:7" x14ac:dyDescent="0.2">
      <c r="A16" s="1"/>
      <c r="G16" s="1"/>
    </row>
    <row r="17" s="1" customFormat="1" x14ac:dyDescent="0.2"/>
    <row r="18" s="1" customFormat="1" x14ac:dyDescent="0.2"/>
    <row r="19" s="1" customFormat="1" x14ac:dyDescent="0.2"/>
    <row r="20" s="1" customFormat="1" x14ac:dyDescent="0.2"/>
    <row r="21" s="1" customFormat="1" x14ac:dyDescent="0.2"/>
    <row r="22" s="1" customFormat="1" x14ac:dyDescent="0.2"/>
    <row r="23" s="1" customFormat="1" x14ac:dyDescent="0.2"/>
    <row r="24" s="1" customFormat="1" x14ac:dyDescent="0.2"/>
    <row r="25" s="1" customFormat="1" x14ac:dyDescent="0.2"/>
    <row r="26" s="1" customFormat="1" x14ac:dyDescent="0.2"/>
    <row r="27" s="1" customFormat="1" x14ac:dyDescent="0.2"/>
    <row r="28" s="1" customFormat="1" x14ac:dyDescent="0.2"/>
    <row r="29" s="1" customFormat="1" x14ac:dyDescent="0.2"/>
    <row r="30" s="1" customFormat="1" x14ac:dyDescent="0.2"/>
    <row r="31" s="1" customFormat="1" x14ac:dyDescent="0.2"/>
    <row r="32" s="1" customFormat="1" x14ac:dyDescent="0.2"/>
    <row r="33" s="1" customFormat="1" x14ac:dyDescent="0.2"/>
    <row r="34" s="1" customFormat="1" x14ac:dyDescent="0.2"/>
    <row r="35" s="1" customFormat="1" x14ac:dyDescent="0.2"/>
    <row r="36" s="1" customFormat="1" x14ac:dyDescent="0.2"/>
    <row r="37" s="1" customFormat="1" x14ac:dyDescent="0.2"/>
    <row r="38" s="1" customFormat="1" x14ac:dyDescent="0.2"/>
    <row r="39" s="1" customFormat="1" x14ac:dyDescent="0.2"/>
    <row r="40" s="1" customFormat="1" x14ac:dyDescent="0.2"/>
    <row r="41" s="1" customFormat="1" x14ac:dyDescent="0.2"/>
    <row r="42" s="1" customFormat="1" x14ac:dyDescent="0.2"/>
    <row r="43" s="1" customFormat="1" x14ac:dyDescent="0.2"/>
    <row r="44" s="1" customFormat="1" x14ac:dyDescent="0.2"/>
    <row r="45" s="1" customFormat="1" x14ac:dyDescent="0.2"/>
    <row r="46" s="1" customFormat="1" x14ac:dyDescent="0.2"/>
    <row r="47" s="1" customFormat="1" x14ac:dyDescent="0.2"/>
    <row r="48" s="1" customFormat="1" x14ac:dyDescent="0.2"/>
    <row r="49" s="1" customFormat="1" x14ac:dyDescent="0.2"/>
    <row r="50" s="1" customFormat="1" x14ac:dyDescent="0.2"/>
    <row r="51" s="1" customFormat="1" x14ac:dyDescent="0.2"/>
    <row r="52" s="1" customFormat="1" x14ac:dyDescent="0.2"/>
    <row r="53" s="1" customFormat="1" x14ac:dyDescent="0.2"/>
    <row r="54" s="1" customFormat="1" x14ac:dyDescent="0.2"/>
    <row r="55" s="1" customFormat="1" x14ac:dyDescent="0.2"/>
    <row r="56" s="1" customFormat="1" x14ac:dyDescent="0.2"/>
    <row r="57" s="1" customFormat="1" x14ac:dyDescent="0.2"/>
    <row r="58" s="1" customFormat="1" x14ac:dyDescent="0.2"/>
    <row r="59" s="1" customFormat="1" x14ac:dyDescent="0.2"/>
    <row r="60" s="1" customFormat="1" x14ac:dyDescent="0.2"/>
    <row r="61" s="1" customFormat="1" x14ac:dyDescent="0.2"/>
    <row r="62" s="1" customFormat="1" x14ac:dyDescent="0.2"/>
    <row r="63" s="1" customFormat="1" x14ac:dyDescent="0.2"/>
    <row r="64" s="1" customFormat="1" x14ac:dyDescent="0.2"/>
    <row r="65" s="1" customFormat="1" x14ac:dyDescent="0.2"/>
    <row r="66" s="1" customFormat="1" x14ac:dyDescent="0.2"/>
    <row r="67" s="1" customFormat="1" x14ac:dyDescent="0.2"/>
    <row r="68" s="1" customFormat="1" x14ac:dyDescent="0.2"/>
    <row r="69" s="1" customFormat="1" x14ac:dyDescent="0.2"/>
    <row r="70" s="1" customFormat="1" x14ac:dyDescent="0.2"/>
    <row r="71" s="1" customFormat="1" x14ac:dyDescent="0.2"/>
    <row r="72" s="1" customFormat="1" x14ac:dyDescent="0.2"/>
    <row r="73" s="1" customFormat="1" x14ac:dyDescent="0.2"/>
  </sheetData>
  <sheetProtection formatCells="0" formatColumns="0" formatRows="0" insertRows="0" deleteRows="0"/>
  <mergeCells count="4">
    <mergeCell ref="A1:B1"/>
    <mergeCell ref="C1:G1"/>
    <mergeCell ref="A3:G3"/>
    <mergeCell ref="A4:G4"/>
  </mergeCells>
  <pageMargins left="0.25" right="0.25" top="0.75" bottom="0.75" header="0.3" footer="0.3"/>
  <pageSetup scale="97" fitToHeight="0" orientation="landscape" horizontalDpi="1200" verticalDpi="1200" r:id="rId1"/>
  <headerFooter>
    <oddHeader>&amp;L&amp;"-,Bold"&amp;12&amp;A&amp;C&amp;"-,Bold"&amp;12&amp;F&amp;R&amp;"-,Bold"&amp;12&amp;D</oddHeader>
    <oddFooter>&amp;C&amp;"-,Bold"&amp;12Page &amp;P of &amp;N</oddFooter>
  </headerFooter>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7C3BA96-E267-4825-9E04-2673A01F087B}">
          <x14:formula1>
            <xm:f>Variables!$D$2:$D$9</xm:f>
          </x14:formula1>
          <xm:sqref>E37:E1048576 E1:E5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19B0D-7CA6-4BD1-BE47-763BBC7487B6}">
  <sheetPr codeName="Sheet10"/>
  <dimension ref="A1:Y15"/>
  <sheetViews>
    <sheetView topLeftCell="B1" workbookViewId="0">
      <selection activeCell="U15" sqref="U15"/>
    </sheetView>
  </sheetViews>
  <sheetFormatPr defaultRowHeight="15" x14ac:dyDescent="0.25"/>
  <sheetData>
    <row r="1" spans="1:25" x14ac:dyDescent="0.25">
      <c r="A1" t="s">
        <v>60</v>
      </c>
      <c r="D1" t="s">
        <v>77</v>
      </c>
      <c r="H1" t="s">
        <v>82</v>
      </c>
      <c r="N1" t="s">
        <v>77</v>
      </c>
      <c r="Q1" t="s">
        <v>83</v>
      </c>
      <c r="U1" t="s">
        <v>84</v>
      </c>
    </row>
    <row r="2" spans="1:25" x14ac:dyDescent="0.25">
      <c r="A2" t="s">
        <v>85</v>
      </c>
      <c r="D2" t="s">
        <v>86</v>
      </c>
      <c r="H2" t="s">
        <v>87</v>
      </c>
      <c r="N2" t="s">
        <v>88</v>
      </c>
      <c r="Q2" t="s">
        <v>61</v>
      </c>
      <c r="U2" s="14" t="s">
        <v>89</v>
      </c>
    </row>
    <row r="3" spans="1:25" x14ac:dyDescent="0.25">
      <c r="A3" t="s">
        <v>90</v>
      </c>
      <c r="D3" t="s">
        <v>91</v>
      </c>
      <c r="H3" t="s">
        <v>92</v>
      </c>
      <c r="N3" t="s">
        <v>93</v>
      </c>
      <c r="Q3" t="s">
        <v>94</v>
      </c>
      <c r="U3" s="14" t="s">
        <v>95</v>
      </c>
    </row>
    <row r="4" spans="1:25" x14ac:dyDescent="0.25">
      <c r="A4" t="s">
        <v>96</v>
      </c>
      <c r="D4" t="s">
        <v>97</v>
      </c>
      <c r="H4" t="s">
        <v>98</v>
      </c>
      <c r="N4" t="s">
        <v>99</v>
      </c>
      <c r="U4" s="14" t="s">
        <v>100</v>
      </c>
    </row>
    <row r="5" spans="1:25" x14ac:dyDescent="0.25">
      <c r="D5" t="s">
        <v>101</v>
      </c>
      <c r="H5" t="s">
        <v>102</v>
      </c>
      <c r="N5" t="s">
        <v>103</v>
      </c>
      <c r="U5" s="14" t="s">
        <v>104</v>
      </c>
    </row>
    <row r="6" spans="1:25" x14ac:dyDescent="0.25">
      <c r="D6" t="s">
        <v>96</v>
      </c>
      <c r="H6" t="s">
        <v>105</v>
      </c>
      <c r="N6" t="s">
        <v>106</v>
      </c>
      <c r="T6" s="15" t="s">
        <v>107</v>
      </c>
      <c r="U6" t="str">
        <f>IF(AND(AB6="Divider",W6&lt;&gt;""),"Feature",IF(X6&lt;&gt;"","Requirement ","Error"))</f>
        <v xml:space="preserve">Requirement </v>
      </c>
      <c r="W6" t="str">
        <f>IF(AB6="Divider",Z6,"")</f>
        <v/>
      </c>
      <c r="X6">
        <f>IF(AB6="Divider","",AA6)</f>
        <v>0</v>
      </c>
      <c r="Y6">
        <f>IF(AB6="Divider","",AB6)</f>
        <v>0</v>
      </c>
    </row>
    <row r="7" spans="1:25" x14ac:dyDescent="0.25">
      <c r="D7" t="s">
        <v>108</v>
      </c>
      <c r="H7" t="s">
        <v>109</v>
      </c>
      <c r="N7" t="s">
        <v>110</v>
      </c>
      <c r="U7" s="14" t="s">
        <v>111</v>
      </c>
    </row>
    <row r="8" spans="1:25" x14ac:dyDescent="0.25">
      <c r="D8" t="s">
        <v>112</v>
      </c>
      <c r="H8" t="s">
        <v>113</v>
      </c>
      <c r="N8" t="s">
        <v>114</v>
      </c>
    </row>
    <row r="9" spans="1:25" x14ac:dyDescent="0.25">
      <c r="H9" t="s">
        <v>115</v>
      </c>
      <c r="N9" t="s">
        <v>116</v>
      </c>
      <c r="T9" s="19"/>
      <c r="U9" s="18" t="s">
        <v>117</v>
      </c>
      <c r="V9" s="19"/>
      <c r="W9" s="19"/>
      <c r="X9" s="15"/>
    </row>
    <row r="10" spans="1:25" x14ac:dyDescent="0.25">
      <c r="T10" s="19"/>
      <c r="W10" s="14" t="s">
        <v>118</v>
      </c>
      <c r="X10" s="15"/>
      <c r="Y10" s="14" t="s">
        <v>119</v>
      </c>
    </row>
    <row r="11" spans="1:25" x14ac:dyDescent="0.25">
      <c r="T11" s="19"/>
      <c r="U11" s="14" t="s">
        <v>120</v>
      </c>
      <c r="V11" s="14" t="s">
        <v>121</v>
      </c>
      <c r="W11" s="14" t="s">
        <v>122</v>
      </c>
      <c r="X11" s="15"/>
    </row>
    <row r="12" spans="1:25" x14ac:dyDescent="0.25">
      <c r="T12" s="15"/>
      <c r="U12" s="15"/>
      <c r="V12" s="15"/>
      <c r="W12" s="15"/>
      <c r="X12" s="15"/>
    </row>
    <row r="15" spans="1:25" x14ac:dyDescent="0.25">
      <c r="U15" s="14" t="s">
        <v>123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F4220-0639-4B2E-AE84-E5816D156EB1}">
  <sheetPr codeName="Sheet1">
    <tabColor theme="0"/>
  </sheetPr>
  <dimension ref="A2:M34"/>
  <sheetViews>
    <sheetView topLeftCell="A21" workbookViewId="0">
      <selection activeCell="B10" sqref="B10:M10"/>
    </sheetView>
  </sheetViews>
  <sheetFormatPr defaultRowHeight="15" x14ac:dyDescent="0.25"/>
  <cols>
    <col min="1" max="1" width="25" style="68" bestFit="1" customWidth="1"/>
    <col min="2" max="2" width="19.42578125" customWidth="1"/>
    <col min="3" max="3" width="22.85546875" bestFit="1" customWidth="1"/>
  </cols>
  <sheetData>
    <row r="2" spans="1:13" x14ac:dyDescent="0.25">
      <c r="A2" s="69" t="s">
        <v>124</v>
      </c>
      <c r="B2" s="157" t="s">
        <v>125</v>
      </c>
      <c r="C2" s="158"/>
      <c r="D2" s="158"/>
      <c r="E2" s="158"/>
      <c r="F2" s="158"/>
      <c r="G2" s="158"/>
      <c r="H2" s="158"/>
      <c r="I2" s="158"/>
      <c r="J2" s="158"/>
      <c r="K2" s="158"/>
      <c r="L2" s="158"/>
      <c r="M2" s="159"/>
    </row>
    <row r="3" spans="1:13" x14ac:dyDescent="0.25">
      <c r="A3" s="154" t="s">
        <v>126</v>
      </c>
      <c r="B3" s="182" t="s">
        <v>127</v>
      </c>
      <c r="C3" s="182"/>
      <c r="D3" s="182"/>
      <c r="E3" s="182"/>
      <c r="F3" s="182"/>
      <c r="G3" s="182"/>
      <c r="H3" s="182"/>
      <c r="I3" s="182"/>
      <c r="J3" s="182"/>
      <c r="K3" s="182"/>
      <c r="L3" s="182"/>
      <c r="M3" s="182"/>
    </row>
    <row r="4" spans="1:13" x14ac:dyDescent="0.25">
      <c r="A4" s="155"/>
      <c r="B4" s="161" t="s">
        <v>128</v>
      </c>
      <c r="C4" s="162"/>
      <c r="D4" s="162"/>
      <c r="E4" s="162"/>
      <c r="F4" s="162"/>
      <c r="G4" s="162"/>
      <c r="H4" s="162"/>
      <c r="I4" s="162"/>
      <c r="J4" s="162"/>
      <c r="K4" s="162"/>
      <c r="L4" s="162"/>
      <c r="M4" s="163"/>
    </row>
    <row r="5" spans="1:13" x14ac:dyDescent="0.25">
      <c r="A5" s="155"/>
      <c r="B5" s="161" t="s">
        <v>129</v>
      </c>
      <c r="C5" s="162"/>
      <c r="D5" s="162"/>
      <c r="E5" s="162"/>
      <c r="F5" s="162"/>
      <c r="G5" s="162"/>
      <c r="H5" s="162"/>
      <c r="I5" s="162"/>
      <c r="J5" s="162"/>
      <c r="K5" s="162"/>
      <c r="L5" s="162"/>
      <c r="M5" s="163"/>
    </row>
    <row r="6" spans="1:13" x14ac:dyDescent="0.25">
      <c r="A6" s="156"/>
      <c r="B6" s="161" t="s">
        <v>130</v>
      </c>
      <c r="C6" s="162"/>
      <c r="D6" s="162"/>
      <c r="E6" s="162"/>
      <c r="F6" s="162"/>
      <c r="G6" s="162"/>
      <c r="H6" s="162"/>
      <c r="I6" s="162"/>
      <c r="J6" s="162"/>
      <c r="K6" s="162"/>
      <c r="L6" s="162"/>
      <c r="M6" s="163"/>
    </row>
    <row r="7" spans="1:13" ht="49.5" customHeight="1" x14ac:dyDescent="0.25">
      <c r="A7" s="69" t="s">
        <v>131</v>
      </c>
      <c r="B7" s="199" t="s">
        <v>132</v>
      </c>
      <c r="C7" s="183"/>
      <c r="D7" s="183"/>
      <c r="E7" s="183"/>
      <c r="F7" s="183"/>
      <c r="G7" s="183"/>
      <c r="H7" s="183"/>
      <c r="I7" s="183"/>
      <c r="J7" s="183"/>
      <c r="K7" s="183"/>
      <c r="L7" s="183"/>
      <c r="M7" s="183"/>
    </row>
    <row r="8" spans="1:13" x14ac:dyDescent="0.25">
      <c r="A8" s="69" t="s">
        <v>133</v>
      </c>
      <c r="B8" s="200" t="s">
        <v>134</v>
      </c>
      <c r="C8" s="200"/>
      <c r="D8" s="200"/>
      <c r="E8" s="200"/>
      <c r="F8" s="200"/>
      <c r="G8" s="200"/>
      <c r="H8" s="200"/>
      <c r="I8" s="200"/>
      <c r="J8" s="200"/>
      <c r="K8" s="200"/>
      <c r="L8" s="200"/>
      <c r="M8" s="200"/>
    </row>
    <row r="9" spans="1:13" x14ac:dyDescent="0.25">
      <c r="A9" s="176" t="s">
        <v>135</v>
      </c>
      <c r="B9" s="201" t="s">
        <v>136</v>
      </c>
      <c r="C9" s="202"/>
      <c r="D9" s="202"/>
      <c r="E9" s="202"/>
      <c r="F9" s="202"/>
      <c r="G9" s="202"/>
      <c r="H9" s="202"/>
      <c r="I9" s="202"/>
      <c r="J9" s="202"/>
      <c r="K9" s="202"/>
      <c r="L9" s="202"/>
      <c r="M9" s="203"/>
    </row>
    <row r="10" spans="1:13" x14ac:dyDescent="0.25">
      <c r="A10" s="176"/>
      <c r="B10" s="170" t="s">
        <v>137</v>
      </c>
      <c r="C10" s="171"/>
      <c r="D10" s="171"/>
      <c r="E10" s="171"/>
      <c r="F10" s="171"/>
      <c r="G10" s="171"/>
      <c r="H10" s="171"/>
      <c r="I10" s="171"/>
      <c r="J10" s="171"/>
      <c r="K10" s="171"/>
      <c r="L10" s="171"/>
      <c r="M10" s="172"/>
    </row>
    <row r="11" spans="1:13" x14ac:dyDescent="0.25">
      <c r="A11" s="177"/>
      <c r="B11" s="187" t="s">
        <v>138</v>
      </c>
      <c r="C11" s="188"/>
      <c r="D11" s="188"/>
      <c r="E11" s="188"/>
      <c r="F11" s="188"/>
      <c r="G11" s="188"/>
      <c r="H11" s="188"/>
      <c r="I11" s="188"/>
      <c r="J11" s="188"/>
      <c r="K11" s="188"/>
      <c r="L11" s="188"/>
      <c r="M11" s="189"/>
    </row>
    <row r="12" spans="1:13" x14ac:dyDescent="0.25">
      <c r="A12" s="176"/>
      <c r="B12" s="184"/>
      <c r="C12" s="185"/>
      <c r="D12" s="185"/>
      <c r="E12" s="185"/>
      <c r="F12" s="185"/>
      <c r="G12" s="185"/>
      <c r="H12" s="185"/>
      <c r="I12" s="185"/>
      <c r="J12" s="185"/>
      <c r="K12" s="185"/>
      <c r="L12" s="185"/>
      <c r="M12" s="186"/>
    </row>
    <row r="13" spans="1:13" x14ac:dyDescent="0.25">
      <c r="A13" s="190" t="s">
        <v>139</v>
      </c>
      <c r="B13" s="193" t="s">
        <v>140</v>
      </c>
      <c r="C13" s="194"/>
      <c r="D13" s="194"/>
      <c r="E13" s="194"/>
      <c r="F13" s="194"/>
      <c r="G13" s="194"/>
      <c r="H13" s="194"/>
      <c r="I13" s="194"/>
      <c r="J13" s="194"/>
      <c r="K13" s="194"/>
      <c r="L13" s="194"/>
      <c r="M13" s="195"/>
    </row>
    <row r="14" spans="1:13" ht="15" customHeight="1" x14ac:dyDescent="0.25">
      <c r="A14" s="191"/>
      <c r="B14" s="196" t="s">
        <v>141</v>
      </c>
      <c r="C14" s="197"/>
      <c r="D14" s="197"/>
      <c r="E14" s="197"/>
      <c r="F14" s="197"/>
      <c r="G14" s="197"/>
      <c r="H14" s="197"/>
      <c r="I14" s="197"/>
      <c r="J14" s="197"/>
      <c r="K14" s="197"/>
      <c r="L14" s="197"/>
      <c r="M14" s="198"/>
    </row>
    <row r="15" spans="1:13" ht="15" customHeight="1" x14ac:dyDescent="0.25">
      <c r="A15" s="191"/>
      <c r="B15" s="164" t="s">
        <v>142</v>
      </c>
      <c r="C15" s="165"/>
      <c r="D15" s="165"/>
      <c r="E15" s="165"/>
      <c r="F15" s="165"/>
      <c r="G15" s="165"/>
      <c r="H15" s="165"/>
      <c r="I15" s="165"/>
      <c r="J15" s="165"/>
      <c r="K15" s="165"/>
      <c r="L15" s="165"/>
      <c r="M15" s="166"/>
    </row>
    <row r="16" spans="1:13" x14ac:dyDescent="0.25">
      <c r="A16" s="191"/>
      <c r="B16" s="167" t="s">
        <v>143</v>
      </c>
      <c r="C16" s="168"/>
      <c r="D16" s="168"/>
      <c r="E16" s="168"/>
      <c r="F16" s="168"/>
      <c r="G16" s="168"/>
      <c r="H16" s="168"/>
      <c r="I16" s="168"/>
      <c r="J16" s="168"/>
      <c r="K16" s="168"/>
      <c r="L16" s="168"/>
      <c r="M16" s="169"/>
    </row>
    <row r="17" spans="1:13" x14ac:dyDescent="0.25">
      <c r="A17" s="191"/>
      <c r="B17" s="170" t="s">
        <v>144</v>
      </c>
      <c r="C17" s="171"/>
      <c r="D17" s="171"/>
      <c r="E17" s="171"/>
      <c r="F17" s="171"/>
      <c r="G17" s="171"/>
      <c r="H17" s="171"/>
      <c r="I17" s="171"/>
      <c r="J17" s="171"/>
      <c r="K17" s="171"/>
      <c r="L17" s="171"/>
      <c r="M17" s="172"/>
    </row>
    <row r="18" spans="1:13" x14ac:dyDescent="0.25">
      <c r="A18" s="191"/>
      <c r="B18" s="173" t="s">
        <v>145</v>
      </c>
      <c r="C18" s="174"/>
      <c r="D18" s="174"/>
      <c r="E18" s="174"/>
      <c r="F18" s="174"/>
      <c r="G18" s="174"/>
      <c r="H18" s="174"/>
      <c r="I18" s="174"/>
      <c r="J18" s="174"/>
      <c r="K18" s="174"/>
      <c r="L18" s="174"/>
      <c r="M18" s="175"/>
    </row>
    <row r="19" spans="1:13" x14ac:dyDescent="0.25">
      <c r="A19" s="192"/>
      <c r="B19" s="173" t="s">
        <v>146</v>
      </c>
      <c r="C19" s="174"/>
      <c r="D19" s="174"/>
      <c r="E19" s="174"/>
      <c r="F19" s="174"/>
      <c r="G19" s="174"/>
      <c r="H19" s="174"/>
      <c r="I19" s="174"/>
      <c r="J19" s="174"/>
      <c r="K19" s="174"/>
      <c r="L19" s="174"/>
      <c r="M19" s="175"/>
    </row>
    <row r="20" spans="1:13" x14ac:dyDescent="0.25">
      <c r="A20" s="69" t="s">
        <v>147</v>
      </c>
      <c r="B20" s="183" t="s">
        <v>148</v>
      </c>
      <c r="C20" s="183"/>
      <c r="D20" s="183"/>
      <c r="E20" s="183"/>
      <c r="F20" s="183"/>
      <c r="G20" s="183"/>
      <c r="H20" s="183"/>
      <c r="I20" s="183"/>
      <c r="J20" s="183"/>
      <c r="K20" s="183"/>
      <c r="L20" s="183"/>
      <c r="M20" s="183"/>
    </row>
    <row r="21" spans="1:13" x14ac:dyDescent="0.25">
      <c r="A21" s="69" t="s">
        <v>149</v>
      </c>
      <c r="B21" s="178" t="s">
        <v>150</v>
      </c>
      <c r="C21" s="179"/>
      <c r="D21" s="179"/>
      <c r="E21" s="179"/>
      <c r="F21" s="179"/>
      <c r="G21" s="179"/>
      <c r="H21" s="179"/>
      <c r="I21" s="179"/>
      <c r="J21" s="179"/>
      <c r="K21" s="179"/>
      <c r="L21" s="179"/>
      <c r="M21" s="180"/>
    </row>
    <row r="22" spans="1:13" x14ac:dyDescent="0.25">
      <c r="A22" s="69" t="s">
        <v>151</v>
      </c>
      <c r="B22" s="183" t="s">
        <v>152</v>
      </c>
      <c r="C22" s="183"/>
      <c r="D22" s="183"/>
      <c r="E22" s="183"/>
      <c r="F22" s="183"/>
      <c r="G22" s="183"/>
      <c r="H22" s="183"/>
      <c r="I22" s="183"/>
      <c r="J22" s="183"/>
      <c r="K22" s="183"/>
      <c r="L22" s="183"/>
      <c r="M22" s="183"/>
    </row>
    <row r="32" spans="1:13" x14ac:dyDescent="0.25">
      <c r="A32" s="72" t="s">
        <v>153</v>
      </c>
      <c r="B32" s="72" t="s">
        <v>154</v>
      </c>
      <c r="C32" s="72" t="s">
        <v>155</v>
      </c>
      <c r="D32" s="176" t="s">
        <v>156</v>
      </c>
      <c r="E32" s="176"/>
      <c r="F32" s="176"/>
      <c r="G32" s="176"/>
      <c r="H32" s="176"/>
      <c r="I32" s="176"/>
      <c r="J32" s="176"/>
      <c r="K32" s="176"/>
      <c r="L32" s="176"/>
      <c r="M32" s="176"/>
    </row>
    <row r="33" spans="1:13" x14ac:dyDescent="0.25">
      <c r="A33" s="71">
        <v>1</v>
      </c>
      <c r="B33" t="s">
        <v>157</v>
      </c>
      <c r="C33" s="70">
        <v>45674</v>
      </c>
      <c r="D33" s="181" t="s">
        <v>158</v>
      </c>
      <c r="E33" s="181"/>
      <c r="F33" s="181"/>
      <c r="G33" s="181"/>
      <c r="H33" s="181"/>
      <c r="I33" s="181"/>
      <c r="J33" s="181"/>
      <c r="K33" s="181"/>
      <c r="L33" s="181"/>
      <c r="M33" s="181"/>
    </row>
    <row r="34" spans="1:13" x14ac:dyDescent="0.25">
      <c r="A34" s="71">
        <v>1.1000000000000001</v>
      </c>
      <c r="B34" t="s">
        <v>157</v>
      </c>
      <c r="C34" s="70">
        <v>45770</v>
      </c>
      <c r="D34" s="160" t="s">
        <v>159</v>
      </c>
      <c r="E34" s="160"/>
      <c r="F34" s="160"/>
      <c r="G34" s="160"/>
      <c r="H34" s="160"/>
      <c r="I34" s="160"/>
      <c r="J34" s="160"/>
      <c r="K34" s="160"/>
      <c r="L34" s="160"/>
      <c r="M34" s="160"/>
    </row>
  </sheetData>
  <mergeCells count="27">
    <mergeCell ref="A13:A19"/>
    <mergeCell ref="B13:M13"/>
    <mergeCell ref="B14:M14"/>
    <mergeCell ref="B7:M7"/>
    <mergeCell ref="B8:M8"/>
    <mergeCell ref="B9:M9"/>
    <mergeCell ref="B20:M20"/>
    <mergeCell ref="B22:M22"/>
    <mergeCell ref="B10:M10"/>
    <mergeCell ref="B12:M12"/>
    <mergeCell ref="B11:M11"/>
    <mergeCell ref="A3:A6"/>
    <mergeCell ref="B2:M2"/>
    <mergeCell ref="D34:M34"/>
    <mergeCell ref="B6:M6"/>
    <mergeCell ref="B4:M4"/>
    <mergeCell ref="B5:M5"/>
    <mergeCell ref="B15:M15"/>
    <mergeCell ref="B16:M16"/>
    <mergeCell ref="B17:M17"/>
    <mergeCell ref="B18:M18"/>
    <mergeCell ref="B19:M19"/>
    <mergeCell ref="A9:A12"/>
    <mergeCell ref="B21:M21"/>
    <mergeCell ref="D32:M32"/>
    <mergeCell ref="D33:M33"/>
    <mergeCell ref="B3:M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1C541-D09D-40CC-9EAD-ABF04EE5DA23}">
  <sheetPr codeName="Sheet11">
    <tabColor theme="0"/>
  </sheetPr>
  <dimension ref="A2:P29"/>
  <sheetViews>
    <sheetView topLeftCell="A5" zoomScale="90" zoomScaleNormal="90" workbookViewId="0">
      <selection activeCell="B11" sqref="B11"/>
    </sheetView>
  </sheetViews>
  <sheetFormatPr defaultRowHeight="15" x14ac:dyDescent="0.25"/>
  <cols>
    <col min="1" max="1" width="5.42578125" customWidth="1"/>
    <col min="2" max="2" width="33" bestFit="1" customWidth="1"/>
    <col min="3" max="3" width="39.42578125" customWidth="1"/>
    <col min="4" max="4" width="37.85546875" customWidth="1"/>
    <col min="5" max="5" width="43" customWidth="1"/>
    <col min="6" max="6" width="32.7109375" customWidth="1"/>
    <col min="7" max="7" width="30.28515625" customWidth="1"/>
  </cols>
  <sheetData>
    <row r="2" spans="1:16" ht="15.75" thickBot="1" x14ac:dyDescent="0.3"/>
    <row r="3" spans="1:16" ht="15.75" thickBot="1" x14ac:dyDescent="0.3">
      <c r="B3" s="52" t="s">
        <v>160</v>
      </c>
      <c r="C3" s="53" t="s">
        <v>161</v>
      </c>
      <c r="D3" s="53" t="s">
        <v>162</v>
      </c>
      <c r="E3" s="54" t="s">
        <v>163</v>
      </c>
      <c r="F3" s="58" t="s">
        <v>164</v>
      </c>
      <c r="G3" s="57" t="s">
        <v>165</v>
      </c>
    </row>
    <row r="4" spans="1:16" ht="135.75" thickBot="1" x14ac:dyDescent="0.3">
      <c r="A4" s="204"/>
      <c r="B4" s="61" t="s">
        <v>166</v>
      </c>
      <c r="C4" s="55" t="s">
        <v>167</v>
      </c>
      <c r="D4" s="55" t="s">
        <v>168</v>
      </c>
      <c r="E4" s="55" t="s">
        <v>169</v>
      </c>
      <c r="F4" s="60" t="s">
        <v>170</v>
      </c>
      <c r="G4" s="55" t="s">
        <v>171</v>
      </c>
    </row>
    <row r="5" spans="1:16" ht="90.75" thickBot="1" x14ac:dyDescent="0.3">
      <c r="A5" s="204"/>
      <c r="B5" s="61" t="s">
        <v>172</v>
      </c>
      <c r="C5" s="55" t="s">
        <v>173</v>
      </c>
      <c r="D5" s="55" t="s">
        <v>174</v>
      </c>
      <c r="E5" s="55" t="s">
        <v>175</v>
      </c>
      <c r="F5" s="60" t="s">
        <v>176</v>
      </c>
      <c r="G5" s="55" t="s">
        <v>177</v>
      </c>
    </row>
    <row r="6" spans="1:16" ht="60.75" thickBot="1" x14ac:dyDescent="0.3">
      <c r="A6" s="204"/>
      <c r="B6" s="61" t="s">
        <v>74</v>
      </c>
      <c r="C6" s="55" t="s">
        <v>178</v>
      </c>
      <c r="D6" s="55" t="s">
        <v>179</v>
      </c>
      <c r="E6" s="55" t="s">
        <v>180</v>
      </c>
      <c r="F6" s="55" t="s">
        <v>181</v>
      </c>
      <c r="G6" s="55" t="s">
        <v>182</v>
      </c>
    </row>
    <row r="7" spans="1:16" ht="66.75" thickBot="1" x14ac:dyDescent="0.3">
      <c r="A7" s="204"/>
      <c r="B7" s="61" t="s">
        <v>183</v>
      </c>
      <c r="C7" s="55" t="s">
        <v>184</v>
      </c>
      <c r="D7" s="55" t="s">
        <v>185</v>
      </c>
      <c r="E7" s="55" t="s">
        <v>186</v>
      </c>
      <c r="F7" s="56" t="s">
        <v>187</v>
      </c>
      <c r="G7" s="50" t="s">
        <v>188</v>
      </c>
    </row>
    <row r="8" spans="1:16" ht="75.75" thickBot="1" x14ac:dyDescent="0.3">
      <c r="A8" s="204"/>
      <c r="B8" s="61" t="s">
        <v>189</v>
      </c>
      <c r="C8" s="55" t="s">
        <v>190</v>
      </c>
      <c r="D8" s="55" t="s">
        <v>191</v>
      </c>
      <c r="E8" s="55" t="s">
        <v>192</v>
      </c>
      <c r="F8" s="50" t="s">
        <v>193</v>
      </c>
      <c r="G8" s="50" t="s">
        <v>194</v>
      </c>
    </row>
    <row r="9" spans="1:16" ht="66.75" thickBot="1" x14ac:dyDescent="0.3">
      <c r="A9" s="204"/>
      <c r="B9" s="61" t="s">
        <v>195</v>
      </c>
      <c r="C9" s="55" t="s">
        <v>196</v>
      </c>
      <c r="D9" s="55" t="s">
        <v>197</v>
      </c>
      <c r="E9" s="55" t="s">
        <v>198</v>
      </c>
      <c r="F9" s="50" t="s">
        <v>199</v>
      </c>
      <c r="G9" s="50" t="s">
        <v>200</v>
      </c>
      <c r="I9" s="59"/>
    </row>
    <row r="10" spans="1:16" ht="66" x14ac:dyDescent="0.25">
      <c r="A10" s="204"/>
      <c r="B10" s="88" t="s">
        <v>201</v>
      </c>
      <c r="C10" s="89" t="s">
        <v>202</v>
      </c>
      <c r="D10" s="89" t="s">
        <v>203</v>
      </c>
      <c r="E10" s="89" t="s">
        <v>204</v>
      </c>
      <c r="F10" s="90" t="s">
        <v>205</v>
      </c>
      <c r="G10" s="91" t="s">
        <v>206</v>
      </c>
    </row>
    <row r="11" spans="1:16" ht="66.75" thickBot="1" x14ac:dyDescent="0.3">
      <c r="A11" s="204"/>
      <c r="B11" s="88" t="s">
        <v>79</v>
      </c>
      <c r="C11" s="89" t="s">
        <v>207</v>
      </c>
      <c r="D11" s="89" t="s">
        <v>208</v>
      </c>
      <c r="E11" s="89" t="s">
        <v>209</v>
      </c>
      <c r="F11" s="91" t="s">
        <v>210</v>
      </c>
      <c r="G11" s="91" t="s">
        <v>211</v>
      </c>
    </row>
    <row r="12" spans="1:16" ht="83.25" thickBot="1" x14ac:dyDescent="0.3">
      <c r="A12" s="204"/>
      <c r="B12" s="88" t="s">
        <v>212</v>
      </c>
      <c r="C12" s="89" t="s">
        <v>213</v>
      </c>
      <c r="D12" s="89" t="s">
        <v>214</v>
      </c>
      <c r="E12" s="89" t="s">
        <v>215</v>
      </c>
      <c r="F12" s="91" t="s">
        <v>216</v>
      </c>
      <c r="G12" s="91" t="s">
        <v>217</v>
      </c>
    </row>
    <row r="13" spans="1:16" ht="66.75" thickBot="1" x14ac:dyDescent="0.3">
      <c r="A13" s="204"/>
      <c r="B13" s="93" t="s">
        <v>218</v>
      </c>
      <c r="C13" s="94" t="s">
        <v>219</v>
      </c>
      <c r="D13" s="94" t="s">
        <v>220</v>
      </c>
      <c r="E13" s="94" t="s">
        <v>221</v>
      </c>
      <c r="F13" s="95" t="s">
        <v>222</v>
      </c>
      <c r="G13" s="95" t="s">
        <v>223</v>
      </c>
      <c r="H13" s="92"/>
      <c r="I13" s="92"/>
      <c r="J13" s="92"/>
      <c r="K13" s="92"/>
      <c r="L13" s="92"/>
      <c r="M13" s="92"/>
    </row>
    <row r="14" spans="1:16" x14ac:dyDescent="0.25">
      <c r="B14" s="96"/>
      <c r="C14" s="96"/>
      <c r="D14" s="96"/>
      <c r="E14" s="96"/>
      <c r="F14" s="96"/>
      <c r="G14" s="96"/>
      <c r="H14" s="96"/>
      <c r="I14" s="96"/>
      <c r="J14" s="96"/>
      <c r="K14" s="96"/>
      <c r="L14" s="96"/>
      <c r="M14" s="96"/>
    </row>
    <row r="15" spans="1:16" ht="15" customHeight="1" x14ac:dyDescent="0.25">
      <c r="C15" s="24"/>
      <c r="D15" s="24"/>
      <c r="E15" s="24"/>
      <c r="F15" s="24"/>
      <c r="G15" s="24"/>
      <c r="H15" s="24"/>
      <c r="I15" s="24"/>
      <c r="J15" s="24"/>
      <c r="K15" s="24"/>
      <c r="L15" s="24"/>
      <c r="M15" s="24"/>
      <c r="N15" s="24"/>
      <c r="O15" s="24"/>
      <c r="P15" s="24"/>
    </row>
    <row r="17" spans="3:16" x14ac:dyDescent="0.25">
      <c r="C17" s="51"/>
      <c r="D17" s="51"/>
      <c r="E17" s="51"/>
      <c r="F17" s="51"/>
      <c r="G17" s="51"/>
      <c r="H17" s="51"/>
      <c r="I17" s="51"/>
      <c r="J17" s="51"/>
      <c r="K17" s="51"/>
      <c r="L17" s="51"/>
      <c r="M17" s="51"/>
      <c r="N17" s="51"/>
      <c r="O17" s="51"/>
      <c r="P17" s="51"/>
    </row>
    <row r="19" spans="3:16" x14ac:dyDescent="0.25">
      <c r="C19" s="51"/>
      <c r="D19" s="51"/>
      <c r="E19" s="51"/>
      <c r="F19" s="51"/>
      <c r="G19" s="51"/>
      <c r="H19" s="51"/>
      <c r="I19" s="51"/>
      <c r="J19" s="51"/>
      <c r="K19" s="51"/>
      <c r="L19" s="51"/>
      <c r="M19" s="51"/>
      <c r="N19" s="51"/>
      <c r="O19" s="51"/>
      <c r="P19" s="51"/>
    </row>
    <row r="20" spans="3:16" ht="15" customHeight="1" x14ac:dyDescent="0.25"/>
    <row r="21" spans="3:16" ht="15" customHeight="1" x14ac:dyDescent="0.25">
      <c r="C21" s="24"/>
      <c r="D21" s="24"/>
      <c r="E21" s="24"/>
      <c r="F21" s="24"/>
      <c r="G21" s="24"/>
      <c r="H21" s="24"/>
      <c r="I21" s="24"/>
      <c r="J21" s="24"/>
      <c r="K21" s="24"/>
      <c r="L21" s="24"/>
      <c r="M21" s="24"/>
      <c r="N21" s="24"/>
      <c r="O21" s="24"/>
      <c r="P21" s="24"/>
    </row>
    <row r="23" spans="3:16" x14ac:dyDescent="0.25">
      <c r="C23" s="51"/>
      <c r="D23" s="51"/>
      <c r="E23" s="51"/>
      <c r="F23" s="51"/>
      <c r="G23" s="51"/>
      <c r="H23" s="51"/>
      <c r="I23" s="51"/>
      <c r="J23" s="51"/>
      <c r="K23" s="51"/>
      <c r="L23" s="51"/>
      <c r="M23" s="51"/>
      <c r="N23" s="51"/>
      <c r="O23" s="51"/>
      <c r="P23" s="51"/>
    </row>
    <row r="25" spans="3:16" x14ac:dyDescent="0.25">
      <c r="C25" s="51"/>
      <c r="D25" s="51"/>
      <c r="E25" s="51"/>
      <c r="F25" s="51"/>
      <c r="G25" s="51"/>
      <c r="H25" s="51"/>
      <c r="I25" s="51"/>
      <c r="J25" s="51"/>
      <c r="K25" s="51"/>
      <c r="L25" s="51"/>
      <c r="M25" s="51"/>
      <c r="N25" s="51"/>
      <c r="O25" s="51"/>
      <c r="P25" s="51"/>
    </row>
    <row r="27" spans="3:16" x14ac:dyDescent="0.25">
      <c r="C27" s="51"/>
      <c r="D27" s="51"/>
      <c r="E27" s="51"/>
      <c r="F27" s="51"/>
      <c r="G27" s="51"/>
      <c r="H27" s="51"/>
      <c r="I27" s="51"/>
      <c r="J27" s="51"/>
      <c r="K27" s="51"/>
      <c r="L27" s="51"/>
      <c r="M27" s="51"/>
      <c r="N27" s="51"/>
      <c r="O27" s="51"/>
      <c r="P27" s="51"/>
    </row>
    <row r="29" spans="3:16" x14ac:dyDescent="0.25">
      <c r="C29" s="51"/>
      <c r="D29" s="51"/>
      <c r="E29" s="51"/>
      <c r="F29" s="51"/>
      <c r="G29" s="51"/>
      <c r="H29" s="51"/>
      <c r="I29" s="51"/>
      <c r="J29" s="51"/>
      <c r="K29" s="51"/>
      <c r="L29" s="51"/>
      <c r="M29" s="51"/>
      <c r="N29" s="51"/>
      <c r="O29" s="51"/>
      <c r="P29" s="51"/>
    </row>
  </sheetData>
  <mergeCells count="2">
    <mergeCell ref="A11:A13"/>
    <mergeCell ref="A4:A10"/>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135F0-A371-46B4-A4D8-BE4E96F9D3BE}">
  <sheetPr codeName="Sheet9"/>
  <dimension ref="A1:D20"/>
  <sheetViews>
    <sheetView workbookViewId="0">
      <selection activeCell="A12" sqref="A12:A20"/>
    </sheetView>
  </sheetViews>
  <sheetFormatPr defaultRowHeight="15" x14ac:dyDescent="0.25"/>
  <cols>
    <col min="1" max="1" width="80.85546875" bestFit="1" customWidth="1"/>
  </cols>
  <sheetData>
    <row r="1" spans="1:4" x14ac:dyDescent="0.25">
      <c r="A1" t="s">
        <v>355</v>
      </c>
    </row>
    <row r="2" spans="1:4" x14ac:dyDescent="0.25">
      <c r="A2" t="s">
        <v>356</v>
      </c>
    </row>
    <row r="3" spans="1:4" x14ac:dyDescent="0.25">
      <c r="A3" t="s">
        <v>357</v>
      </c>
    </row>
    <row r="4" spans="1:4" x14ac:dyDescent="0.25">
      <c r="A4" t="s">
        <v>33</v>
      </c>
      <c r="C4" s="3" t="s">
        <v>0</v>
      </c>
    </row>
    <row r="5" spans="1:4" x14ac:dyDescent="0.25">
      <c r="A5" t="s">
        <v>60</v>
      </c>
      <c r="C5" s="3" t="s">
        <v>1</v>
      </c>
    </row>
    <row r="6" spans="1:4" x14ac:dyDescent="0.25">
      <c r="A6" t="s">
        <v>83</v>
      </c>
      <c r="C6" s="3" t="s">
        <v>2</v>
      </c>
    </row>
    <row r="7" spans="1:4" x14ac:dyDescent="0.25">
      <c r="A7" t="s">
        <v>358</v>
      </c>
      <c r="C7" s="3" t="s">
        <v>3</v>
      </c>
    </row>
    <row r="8" spans="1:4" x14ac:dyDescent="0.25">
      <c r="A8" t="s">
        <v>359</v>
      </c>
      <c r="C8" s="3" t="s">
        <v>4</v>
      </c>
    </row>
    <row r="9" spans="1:4" x14ac:dyDescent="0.25">
      <c r="A9" t="s">
        <v>102</v>
      </c>
      <c r="C9" s="3" t="s">
        <v>5</v>
      </c>
    </row>
    <row r="10" spans="1:4" x14ac:dyDescent="0.25">
      <c r="A10" t="s">
        <v>360</v>
      </c>
      <c r="C10" s="25" t="s">
        <v>361</v>
      </c>
    </row>
    <row r="11" spans="1:4" x14ac:dyDescent="0.25">
      <c r="A11" t="s">
        <v>63</v>
      </c>
      <c r="C11" s="26" t="s">
        <v>362</v>
      </c>
    </row>
    <row r="12" spans="1:4" x14ac:dyDescent="0.25">
      <c r="A12" t="s">
        <v>363</v>
      </c>
      <c r="C12" s="147" t="s">
        <v>12</v>
      </c>
      <c r="D12" s="147"/>
    </row>
    <row r="13" spans="1:4" x14ac:dyDescent="0.25">
      <c r="A13" t="s">
        <v>364</v>
      </c>
      <c r="C13" s="147" t="s">
        <v>13</v>
      </c>
      <c r="D13" s="147"/>
    </row>
    <row r="14" spans="1:4" x14ac:dyDescent="0.25">
      <c r="A14" t="s">
        <v>365</v>
      </c>
      <c r="C14" s="147" t="s">
        <v>14</v>
      </c>
      <c r="D14" s="147"/>
    </row>
    <row r="15" spans="1:4" x14ac:dyDescent="0.25">
      <c r="A15" t="s">
        <v>366</v>
      </c>
      <c r="C15" s="147" t="s">
        <v>15</v>
      </c>
      <c r="D15" s="147"/>
    </row>
    <row r="16" spans="1:4" x14ac:dyDescent="0.25">
      <c r="A16" t="s">
        <v>68</v>
      </c>
      <c r="C16" s="147" t="s">
        <v>16</v>
      </c>
      <c r="D16" s="147"/>
    </row>
    <row r="17" spans="1:4" x14ac:dyDescent="0.25">
      <c r="A17" t="s">
        <v>367</v>
      </c>
      <c r="C17" s="147" t="s">
        <v>17</v>
      </c>
      <c r="D17" s="147"/>
    </row>
    <row r="18" spans="1:4" x14ac:dyDescent="0.25">
      <c r="A18" t="s">
        <v>32</v>
      </c>
      <c r="C18" s="147" t="s">
        <v>18</v>
      </c>
      <c r="D18" s="147"/>
    </row>
    <row r="19" spans="1:4" x14ac:dyDescent="0.25">
      <c r="A19" t="s">
        <v>368</v>
      </c>
      <c r="C19" s="147" t="s">
        <v>19</v>
      </c>
      <c r="D19" s="147"/>
    </row>
    <row r="20" spans="1:4" x14ac:dyDescent="0.25">
      <c r="C20" s="147" t="s">
        <v>70</v>
      </c>
      <c r="D20" s="147"/>
    </row>
  </sheetData>
  <mergeCells count="9">
    <mergeCell ref="C18:D18"/>
    <mergeCell ref="C19:D19"/>
    <mergeCell ref="C20:D20"/>
    <mergeCell ref="C12:D12"/>
    <mergeCell ref="C13:D13"/>
    <mergeCell ref="C14:D14"/>
    <mergeCell ref="C15:D15"/>
    <mergeCell ref="C16:D16"/>
    <mergeCell ref="C17:D17"/>
  </mergeCells>
  <phoneticPr fontId="6"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1BEA-EF77-48C0-96AE-EC64137196DF}">
  <sheetPr codeName="Sheet6"/>
  <dimension ref="A1:D17"/>
  <sheetViews>
    <sheetView workbookViewId="0">
      <selection activeCell="A2" sqref="A2:D17"/>
    </sheetView>
  </sheetViews>
  <sheetFormatPr defaultRowHeight="15" x14ac:dyDescent="0.25"/>
  <cols>
    <col min="1" max="1" width="5" bestFit="1" customWidth="1"/>
    <col min="2" max="2" width="80.85546875" bestFit="1" customWidth="1"/>
    <col min="3" max="3" width="14.85546875" bestFit="1" customWidth="1"/>
    <col min="4" max="4" width="16.7109375" bestFit="1" customWidth="1"/>
    <col min="5" max="5" width="17.85546875" bestFit="1" customWidth="1"/>
    <col min="6" max="7" width="10.7109375" bestFit="1" customWidth="1"/>
    <col min="8" max="8" width="17.85546875" bestFit="1" customWidth="1"/>
    <col min="9" max="9" width="11.140625" bestFit="1" customWidth="1"/>
  </cols>
  <sheetData>
    <row r="1" spans="1:4" x14ac:dyDescent="0.25">
      <c r="A1" t="s">
        <v>369</v>
      </c>
      <c r="B1" t="s">
        <v>23</v>
      </c>
      <c r="C1" t="s">
        <v>370</v>
      </c>
      <c r="D1" t="s">
        <v>80</v>
      </c>
    </row>
    <row r="2" spans="1:4" x14ac:dyDescent="0.25">
      <c r="A2" t="s">
        <v>371</v>
      </c>
      <c r="B2" t="s">
        <v>35</v>
      </c>
      <c r="C2" t="s">
        <v>77</v>
      </c>
      <c r="D2" t="s">
        <v>32</v>
      </c>
    </row>
    <row r="3" spans="1:4" x14ac:dyDescent="0.25">
      <c r="A3" t="s">
        <v>372</v>
      </c>
      <c r="B3" t="s">
        <v>373</v>
      </c>
      <c r="C3" t="s">
        <v>86</v>
      </c>
      <c r="D3" t="s">
        <v>103</v>
      </c>
    </row>
    <row r="4" spans="1:4" x14ac:dyDescent="0.25">
      <c r="A4" t="s">
        <v>374</v>
      </c>
      <c r="B4" t="s">
        <v>375</v>
      </c>
      <c r="C4" t="s">
        <v>86</v>
      </c>
      <c r="D4" t="s">
        <v>103</v>
      </c>
    </row>
    <row r="5" spans="1:4" x14ac:dyDescent="0.25">
      <c r="A5" t="s">
        <v>376</v>
      </c>
      <c r="B5" t="s">
        <v>377</v>
      </c>
      <c r="C5" t="s">
        <v>86</v>
      </c>
      <c r="D5" t="s">
        <v>103</v>
      </c>
    </row>
    <row r="6" spans="1:4" x14ac:dyDescent="0.25">
      <c r="A6" t="s">
        <v>378</v>
      </c>
      <c r="B6" t="s">
        <v>379</v>
      </c>
      <c r="C6" t="s">
        <v>380</v>
      </c>
      <c r="D6" t="s">
        <v>103</v>
      </c>
    </row>
    <row r="7" spans="1:4" x14ac:dyDescent="0.25">
      <c r="A7" t="s">
        <v>381</v>
      </c>
      <c r="B7" t="s">
        <v>45</v>
      </c>
      <c r="C7" t="s">
        <v>77</v>
      </c>
      <c r="D7" t="s">
        <v>32</v>
      </c>
    </row>
    <row r="8" spans="1:4" x14ac:dyDescent="0.25">
      <c r="A8" t="s">
        <v>382</v>
      </c>
      <c r="B8" t="s">
        <v>383</v>
      </c>
      <c r="C8" t="s">
        <v>86</v>
      </c>
      <c r="D8" t="s">
        <v>103</v>
      </c>
    </row>
    <row r="9" spans="1:4" x14ac:dyDescent="0.25">
      <c r="A9" t="s">
        <v>384</v>
      </c>
      <c r="B9" t="s">
        <v>49</v>
      </c>
      <c r="C9" t="s">
        <v>86</v>
      </c>
      <c r="D9" t="s">
        <v>103</v>
      </c>
    </row>
    <row r="10" spans="1:4" x14ac:dyDescent="0.25">
      <c r="A10" t="s">
        <v>385</v>
      </c>
      <c r="B10" t="s">
        <v>50</v>
      </c>
      <c r="C10" t="s">
        <v>86</v>
      </c>
      <c r="D10" t="s">
        <v>103</v>
      </c>
    </row>
    <row r="11" spans="1:4" x14ac:dyDescent="0.25">
      <c r="A11" t="s">
        <v>386</v>
      </c>
      <c r="B11" t="s">
        <v>52</v>
      </c>
      <c r="C11" t="s">
        <v>86</v>
      </c>
      <c r="D11" t="s">
        <v>103</v>
      </c>
    </row>
    <row r="12" spans="1:4" x14ac:dyDescent="0.25">
      <c r="A12" t="s">
        <v>387</v>
      </c>
      <c r="B12" t="s">
        <v>53</v>
      </c>
      <c r="C12" t="s">
        <v>86</v>
      </c>
      <c r="D12" t="s">
        <v>103</v>
      </c>
    </row>
    <row r="13" spans="1:4" x14ac:dyDescent="0.25">
      <c r="A13" t="s">
        <v>388</v>
      </c>
      <c r="B13" t="s">
        <v>54</v>
      </c>
      <c r="C13" t="s">
        <v>380</v>
      </c>
      <c r="D13" t="s">
        <v>103</v>
      </c>
    </row>
    <row r="14" spans="1:4" x14ac:dyDescent="0.25">
      <c r="A14" t="s">
        <v>389</v>
      </c>
      <c r="B14" t="s">
        <v>55</v>
      </c>
      <c r="C14" t="s">
        <v>86</v>
      </c>
      <c r="D14" t="s">
        <v>103</v>
      </c>
    </row>
    <row r="15" spans="1:4" x14ac:dyDescent="0.25">
      <c r="A15" t="s">
        <v>390</v>
      </c>
      <c r="B15" t="s">
        <v>56</v>
      </c>
      <c r="C15" t="s">
        <v>86</v>
      </c>
      <c r="D15" t="s">
        <v>103</v>
      </c>
    </row>
    <row r="16" spans="1:4" x14ac:dyDescent="0.25">
      <c r="A16" t="s">
        <v>391</v>
      </c>
      <c r="B16" t="s">
        <v>57</v>
      </c>
      <c r="C16" t="s">
        <v>86</v>
      </c>
      <c r="D16" t="s">
        <v>103</v>
      </c>
    </row>
    <row r="17" spans="1:4" x14ac:dyDescent="0.25">
      <c r="A17" t="s">
        <v>392</v>
      </c>
      <c r="B17" t="s">
        <v>58</v>
      </c>
      <c r="C17" t="s">
        <v>86</v>
      </c>
      <c r="D17" t="s">
        <v>103</v>
      </c>
    </row>
  </sheetData>
  <phoneticPr fontId="6"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3B3F8-F926-47E7-8B8E-6D9EF44AA064}">
  <sheetPr codeName="Sheet18">
    <tabColor theme="4" tint="0.59999389629810485"/>
    <pageSetUpPr fitToPage="1"/>
  </sheetPr>
  <dimension ref="A1:M75"/>
  <sheetViews>
    <sheetView topLeftCell="A4" zoomScaleNormal="100" workbookViewId="0">
      <selection activeCell="A20" sqref="A20:C25"/>
    </sheetView>
  </sheetViews>
  <sheetFormatPr defaultColWidth="9.140625" defaultRowHeight="12.75" x14ac:dyDescent="0.2"/>
  <cols>
    <col min="1" max="1" width="26.42578125" style="1" customWidth="1"/>
    <col min="2" max="2" width="27.42578125" style="1" customWidth="1"/>
    <col min="3" max="3" width="68.85546875" style="1" customWidth="1"/>
    <col min="4" max="16384" width="9.140625" style="1"/>
  </cols>
  <sheetData>
    <row r="1" spans="1:4" ht="12.75" customHeight="1" x14ac:dyDescent="0.25">
      <c r="A1" s="77" t="s">
        <v>0</v>
      </c>
      <c r="B1" s="142" t="s">
        <v>527</v>
      </c>
      <c r="C1" s="143"/>
    </row>
    <row r="2" spans="1:4" ht="12.75" customHeight="1" x14ac:dyDescent="0.25">
      <c r="A2" s="77" t="s">
        <v>1</v>
      </c>
      <c r="B2" s="142" t="s">
        <v>96</v>
      </c>
      <c r="C2" s="143"/>
    </row>
    <row r="3" spans="1:4" ht="12.75" customHeight="1" x14ac:dyDescent="0.25">
      <c r="A3" s="77" t="s">
        <v>2</v>
      </c>
      <c r="B3" s="142" t="s">
        <v>83</v>
      </c>
      <c r="C3" s="143"/>
    </row>
    <row r="4" spans="1:4" ht="12.75" customHeight="1" x14ac:dyDescent="0.25">
      <c r="A4" s="77" t="s">
        <v>3</v>
      </c>
      <c r="B4" s="148">
        <v>45845</v>
      </c>
      <c r="C4" s="149"/>
    </row>
    <row r="5" spans="1:4" ht="12.75" customHeight="1" x14ac:dyDescent="0.25">
      <c r="A5" s="77" t="s">
        <v>4</v>
      </c>
      <c r="B5" s="226">
        <v>45852</v>
      </c>
      <c r="C5" s="227"/>
    </row>
    <row r="6" spans="1:4" ht="12.75" customHeight="1" x14ac:dyDescent="0.25">
      <c r="A6" s="135" t="s">
        <v>393</v>
      </c>
      <c r="B6" s="228" t="s">
        <v>94</v>
      </c>
      <c r="C6" s="229"/>
    </row>
    <row r="7" spans="1:4" s="2" customFormat="1" x14ac:dyDescent="0.2">
      <c r="B7" s="230"/>
      <c r="C7" s="230"/>
    </row>
    <row r="8" spans="1:4" ht="12.75" customHeight="1" x14ac:dyDescent="0.25">
      <c r="A8" s="134" t="s">
        <v>5</v>
      </c>
      <c r="B8" s="234" t="s">
        <v>109</v>
      </c>
      <c r="C8" s="235"/>
    </row>
    <row r="9" spans="1:4" ht="12.75" customHeight="1" x14ac:dyDescent="0.25">
      <c r="A9" s="132" t="s">
        <v>394</v>
      </c>
      <c r="B9" s="140" t="s">
        <v>528</v>
      </c>
      <c r="C9" s="140"/>
    </row>
    <row r="10" spans="1:4" ht="12.75" customHeight="1" x14ac:dyDescent="0.25">
      <c r="A10" s="132" t="s">
        <v>395</v>
      </c>
      <c r="B10" s="140" t="s">
        <v>529</v>
      </c>
      <c r="C10" s="140"/>
    </row>
    <row r="11" spans="1:4" ht="12.75" customHeight="1" x14ac:dyDescent="0.25">
      <c r="A11" s="132" t="s">
        <v>396</v>
      </c>
      <c r="B11" s="140" t="s">
        <v>233</v>
      </c>
      <c r="C11" s="140"/>
    </row>
    <row r="12" spans="1:4" ht="12.4" customHeight="1" x14ac:dyDescent="0.2"/>
    <row r="13" spans="1:4" ht="12.75" hidden="1" customHeight="1" x14ac:dyDescent="0.2"/>
    <row r="14" spans="1:4" ht="12.75" hidden="1" customHeight="1" x14ac:dyDescent="0.2"/>
    <row r="15" spans="1:4" ht="76.5" hidden="1" customHeight="1" x14ac:dyDescent="0.2"/>
    <row r="16" spans="1:4" ht="76.5" customHeight="1" x14ac:dyDescent="0.2">
      <c r="A16" s="131" t="s">
        <v>166</v>
      </c>
      <c r="B16" s="236" t="s">
        <v>531</v>
      </c>
      <c r="C16" s="237"/>
      <c r="D16" s="121"/>
    </row>
    <row r="17" spans="1:4" x14ac:dyDescent="0.2">
      <c r="B17" s="233"/>
      <c r="C17" s="233"/>
    </row>
    <row r="18" spans="1:4" ht="15.75" thickBot="1" x14ac:dyDescent="0.3">
      <c r="A18" s="238" t="s">
        <v>397</v>
      </c>
      <c r="B18" s="239"/>
      <c r="C18" s="239"/>
      <c r="D18" s="120"/>
    </row>
    <row r="19" spans="1:4" ht="13.5" thickTop="1" x14ac:dyDescent="0.2">
      <c r="A19" s="240" t="s">
        <v>530</v>
      </c>
      <c r="B19" s="241"/>
      <c r="C19" s="242"/>
    </row>
    <row r="20" spans="1:4" x14ac:dyDescent="0.2">
      <c r="A20" s="214"/>
      <c r="B20" s="215"/>
      <c r="C20" s="216"/>
    </row>
    <row r="21" spans="1:4" x14ac:dyDescent="0.2">
      <c r="A21" s="214"/>
      <c r="B21" s="215"/>
      <c r="C21" s="216"/>
    </row>
    <row r="22" spans="1:4" x14ac:dyDescent="0.2">
      <c r="A22" s="214"/>
      <c r="B22" s="215"/>
      <c r="C22" s="216"/>
    </row>
    <row r="23" spans="1:4" x14ac:dyDescent="0.2">
      <c r="A23" s="214"/>
      <c r="B23" s="215"/>
      <c r="C23" s="216"/>
    </row>
    <row r="24" spans="1:4" x14ac:dyDescent="0.2">
      <c r="A24" s="214"/>
      <c r="B24" s="215"/>
      <c r="C24" s="216"/>
    </row>
    <row r="25" spans="1:4" x14ac:dyDescent="0.2">
      <c r="A25" s="214"/>
      <c r="B25" s="215"/>
      <c r="C25" s="216"/>
    </row>
    <row r="26" spans="1:4" x14ac:dyDescent="0.2">
      <c r="A26" s="217"/>
      <c r="B26" s="218"/>
      <c r="C26" s="219"/>
    </row>
    <row r="27" spans="1:4" x14ac:dyDescent="0.2">
      <c r="A27" s="217"/>
      <c r="B27" s="218"/>
      <c r="C27" s="219"/>
    </row>
    <row r="28" spans="1:4" x14ac:dyDescent="0.2">
      <c r="A28" s="217"/>
      <c r="B28" s="218"/>
      <c r="C28" s="219"/>
    </row>
    <row r="29" spans="1:4" ht="13.5" customHeight="1" thickBot="1" x14ac:dyDescent="0.25">
      <c r="A29" s="220"/>
      <c r="B29" s="221"/>
      <c r="C29" s="222"/>
    </row>
    <row r="30" spans="1:4" ht="12.75" customHeight="1" x14ac:dyDescent="0.2">
      <c r="B30" s="231"/>
      <c r="C30" s="231"/>
    </row>
    <row r="31" spans="1:4" ht="12.75" customHeight="1" x14ac:dyDescent="0.25">
      <c r="A31" s="223" t="s">
        <v>398</v>
      </c>
      <c r="B31" s="223"/>
      <c r="C31" s="224"/>
    </row>
    <row r="32" spans="1:4" ht="12.75" customHeight="1" x14ac:dyDescent="0.2">
      <c r="A32" s="225" t="s">
        <v>532</v>
      </c>
      <c r="B32" s="225"/>
      <c r="C32" s="225"/>
    </row>
    <row r="33" spans="1:13" ht="12.75" customHeight="1" x14ac:dyDescent="0.2">
      <c r="A33" s="225"/>
      <c r="B33" s="225"/>
      <c r="C33" s="225"/>
    </row>
    <row r="34" spans="1:13" ht="12.75" customHeight="1" x14ac:dyDescent="0.2">
      <c r="A34" s="225"/>
      <c r="B34" s="225"/>
      <c r="C34" s="225"/>
    </row>
    <row r="35" spans="1:13" ht="12.75" customHeight="1" x14ac:dyDescent="0.2">
      <c r="A35" s="225"/>
      <c r="B35" s="225"/>
      <c r="C35" s="225"/>
    </row>
    <row r="36" spans="1:13" ht="12.75" customHeight="1" x14ac:dyDescent="0.2">
      <c r="A36" s="225"/>
      <c r="B36" s="225"/>
      <c r="C36" s="225"/>
    </row>
    <row r="37" spans="1:13" ht="12.75" customHeight="1" x14ac:dyDescent="0.2">
      <c r="A37" s="225"/>
      <c r="B37" s="225"/>
      <c r="C37" s="225"/>
    </row>
    <row r="38" spans="1:13" ht="12.75" customHeight="1" x14ac:dyDescent="0.2">
      <c r="B38" s="7"/>
      <c r="C38" s="7"/>
    </row>
    <row r="39" spans="1:13" ht="12.75" customHeight="1" x14ac:dyDescent="0.2">
      <c r="A39" s="2"/>
      <c r="B39" s="232"/>
      <c r="C39" s="232"/>
    </row>
    <row r="40" spans="1:13" ht="15.75" thickBot="1" x14ac:dyDescent="0.3">
      <c r="A40" s="223" t="s">
        <v>399</v>
      </c>
      <c r="B40" s="223"/>
      <c r="C40" s="224"/>
    </row>
    <row r="41" spans="1:13" ht="162.75" customHeight="1" thickTop="1" thickBot="1" x14ac:dyDescent="0.25">
      <c r="A41" s="205" t="s">
        <v>533</v>
      </c>
      <c r="B41" s="206"/>
      <c r="C41" s="207"/>
      <c r="L41" s="4"/>
      <c r="M41" s="5"/>
    </row>
    <row r="42" spans="1:13" ht="16.5" thickTop="1" thickBot="1" x14ac:dyDescent="0.25">
      <c r="A42" s="4"/>
      <c r="B42" s="5"/>
      <c r="C42" s="133"/>
    </row>
    <row r="43" spans="1:13" ht="14.45" customHeight="1" x14ac:dyDescent="0.2">
      <c r="A43" s="211" t="s">
        <v>400</v>
      </c>
      <c r="B43" s="212"/>
      <c r="C43" s="213"/>
    </row>
    <row r="44" spans="1:13" ht="15" x14ac:dyDescent="0.25">
      <c r="A44" s="129" t="s">
        <v>401</v>
      </c>
      <c r="B44" s="122" t="s">
        <v>402</v>
      </c>
      <c r="C44" s="130" t="s">
        <v>403</v>
      </c>
    </row>
    <row r="45" spans="1:13" ht="15" x14ac:dyDescent="0.2">
      <c r="A45" s="123"/>
      <c r="B45" s="124"/>
      <c r="C45" s="125"/>
    </row>
    <row r="46" spans="1:13" ht="15" x14ac:dyDescent="0.2">
      <c r="A46" s="123"/>
      <c r="B46" s="124"/>
      <c r="C46" s="125"/>
    </row>
    <row r="47" spans="1:13" ht="15" x14ac:dyDescent="0.2">
      <c r="A47" s="126"/>
      <c r="B47" s="127"/>
      <c r="C47" s="128"/>
    </row>
    <row r="48" spans="1:13" ht="15" x14ac:dyDescent="0.2">
      <c r="A48" s="126"/>
      <c r="B48" s="127"/>
      <c r="C48" s="128"/>
    </row>
    <row r="50" spans="1:3" ht="15" x14ac:dyDescent="0.25">
      <c r="A50" s="145" t="s">
        <v>10</v>
      </c>
      <c r="B50" s="145"/>
      <c r="C50" s="75" t="s">
        <v>11</v>
      </c>
    </row>
    <row r="51" spans="1:3" ht="15" x14ac:dyDescent="0.25">
      <c r="A51" s="208" t="s">
        <v>12</v>
      </c>
      <c r="B51" s="208"/>
      <c r="C51" s="31"/>
    </row>
    <row r="52" spans="1:3" ht="15" x14ac:dyDescent="0.25">
      <c r="A52" s="208" t="s">
        <v>13</v>
      </c>
      <c r="B52" s="208"/>
      <c r="C52" s="6"/>
    </row>
    <row r="53" spans="1:3" ht="15" x14ac:dyDescent="0.25">
      <c r="A53" s="208" t="s">
        <v>14</v>
      </c>
      <c r="B53" s="208"/>
      <c r="C53" s="6"/>
    </row>
    <row r="54" spans="1:3" ht="15" x14ac:dyDescent="0.25">
      <c r="A54" s="208" t="s">
        <v>15</v>
      </c>
      <c r="B54" s="208"/>
      <c r="C54" s="6"/>
    </row>
    <row r="55" spans="1:3" ht="15" x14ac:dyDescent="0.25">
      <c r="A55" s="209" t="s">
        <v>404</v>
      </c>
      <c r="B55" s="210"/>
      <c r="C55" s="6" t="s">
        <v>157</v>
      </c>
    </row>
    <row r="56" spans="1:3" ht="15" x14ac:dyDescent="0.25">
      <c r="A56" s="208" t="s">
        <v>16</v>
      </c>
      <c r="B56" s="208"/>
      <c r="C56" s="6" t="s">
        <v>405</v>
      </c>
    </row>
    <row r="57" spans="1:3" ht="15" x14ac:dyDescent="0.25">
      <c r="A57" s="208" t="s">
        <v>17</v>
      </c>
      <c r="B57" s="208"/>
      <c r="C57" s="6"/>
    </row>
    <row r="58" spans="1:3" ht="15" x14ac:dyDescent="0.25">
      <c r="A58" s="208" t="s">
        <v>18</v>
      </c>
      <c r="B58" s="208"/>
      <c r="C58" s="6"/>
    </row>
    <row r="59" spans="1:3" ht="15" x14ac:dyDescent="0.25">
      <c r="A59" s="208" t="s">
        <v>19</v>
      </c>
      <c r="B59" s="208"/>
      <c r="C59" s="6"/>
    </row>
    <row r="60" spans="1:3" ht="15" x14ac:dyDescent="0.25">
      <c r="A60" s="208" t="s">
        <v>70</v>
      </c>
      <c r="B60" s="208"/>
      <c r="C60" s="6"/>
    </row>
    <row r="74" spans="1:3" x14ac:dyDescent="0.2">
      <c r="A74" s="3" t="s">
        <v>71</v>
      </c>
    </row>
    <row r="75" spans="1:3" x14ac:dyDescent="0.2">
      <c r="A75" s="27" t="s">
        <v>406</v>
      </c>
      <c r="B75" s="28"/>
      <c r="C75" s="28"/>
    </row>
  </sheetData>
  <dataConsolidate/>
  <mergeCells count="43">
    <mergeCell ref="B6:C6"/>
    <mergeCell ref="B7:C7"/>
    <mergeCell ref="B30:C30"/>
    <mergeCell ref="B39:C39"/>
    <mergeCell ref="B17:C17"/>
    <mergeCell ref="A24:C24"/>
    <mergeCell ref="B8:C8"/>
    <mergeCell ref="B9:C9"/>
    <mergeCell ref="B10:C10"/>
    <mergeCell ref="B11:C11"/>
    <mergeCell ref="B16:C16"/>
    <mergeCell ref="A18:C18"/>
    <mergeCell ref="A19:C19"/>
    <mergeCell ref="A20:C20"/>
    <mergeCell ref="A21:C21"/>
    <mergeCell ref="A22:C22"/>
    <mergeCell ref="B1:C1"/>
    <mergeCell ref="B2:C2"/>
    <mergeCell ref="B3:C3"/>
    <mergeCell ref="B4:C4"/>
    <mergeCell ref="B5:C5"/>
    <mergeCell ref="A23:C23"/>
    <mergeCell ref="A25:C25"/>
    <mergeCell ref="A26:C26"/>
    <mergeCell ref="A29:C29"/>
    <mergeCell ref="A40:C40"/>
    <mergeCell ref="A27:C27"/>
    <mergeCell ref="A28:C28"/>
    <mergeCell ref="A31:C31"/>
    <mergeCell ref="A32:C37"/>
    <mergeCell ref="A41:C41"/>
    <mergeCell ref="A57:B57"/>
    <mergeCell ref="A58:B58"/>
    <mergeCell ref="A59:B59"/>
    <mergeCell ref="A60:B60"/>
    <mergeCell ref="A51:B51"/>
    <mergeCell ref="A52:B52"/>
    <mergeCell ref="A53:B53"/>
    <mergeCell ref="A54:B54"/>
    <mergeCell ref="A55:B55"/>
    <mergeCell ref="A56:B56"/>
    <mergeCell ref="A50:B50"/>
    <mergeCell ref="A43:C43"/>
  </mergeCells>
  <dataValidations count="1">
    <dataValidation allowBlank="1" showErrorMessage="1" sqref="B9:C9" xr:uid="{2016BA1C-AE92-4FDC-8CA2-8D8604BBFF4D}"/>
  </dataValidations>
  <pageMargins left="0.25" right="0.25" top="0.75" bottom="0.75" header="0.3" footer="0.3"/>
  <pageSetup scale="99" orientation="portrait" horizontalDpi="1200" verticalDpi="1200" r:id="rId1"/>
  <headerFooter>
    <oddHeader>&amp;L&amp;"-,Bold"&amp;12&amp;A&amp;C&amp;"-,Bold"&amp;12&amp;F&amp;R&amp;"-,Bold"&amp;12&amp;D</oddHeader>
    <oddFooter>&amp;C&amp;"-,Bold"&amp;12Page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All_Data_filled_main">
                <anchor moveWithCells="1">
                  <from>
                    <xdr:col>6</xdr:col>
                    <xdr:colOff>371475</xdr:colOff>
                    <xdr:row>40</xdr:row>
                    <xdr:rowOff>676275</xdr:rowOff>
                  </from>
                  <to>
                    <xdr:col>8</xdr:col>
                    <xdr:colOff>152400</xdr:colOff>
                    <xdr:row>40</xdr:row>
                    <xdr:rowOff>990600</xdr:rowOff>
                  </to>
                </anchor>
              </controlPr>
            </control>
          </mc:Choice>
        </mc:AlternateContent>
        <mc:AlternateContent xmlns:mc="http://schemas.openxmlformats.org/markup-compatibility/2006">
          <mc:Choice Requires="x14">
            <control shapeId="68610" r:id="rId5" name="Button 2">
              <controlPr defaultSize="0" print="0" autoFill="0" autoPict="0" macro="[0]!Save_CSV">
                <anchor moveWithCells="1" sizeWithCells="1">
                  <from>
                    <xdr:col>8</xdr:col>
                    <xdr:colOff>323850</xdr:colOff>
                    <xdr:row>40</xdr:row>
                    <xdr:rowOff>685800</xdr:rowOff>
                  </from>
                  <to>
                    <xdr:col>10</xdr:col>
                    <xdr:colOff>133350</xdr:colOff>
                    <xdr:row>40</xdr:row>
                    <xdr:rowOff>981075</xdr:rowOff>
                  </to>
                </anchor>
              </controlPr>
            </control>
          </mc:Choice>
        </mc:AlternateContent>
        <mc:AlternateContent xmlns:mc="http://schemas.openxmlformats.org/markup-compatibility/2006">
          <mc:Choice Requires="x14">
            <control shapeId="68611" r:id="rId6" name="Button 3">
              <controlPr defaultSize="0" print="0" autoFill="0" autoPict="0" macro="[0]!refresh">
                <anchor moveWithCells="1" sizeWithCells="1">
                  <from>
                    <xdr:col>5</xdr:col>
                    <xdr:colOff>95250</xdr:colOff>
                    <xdr:row>85</xdr:row>
                    <xdr:rowOff>19050</xdr:rowOff>
                  </from>
                  <to>
                    <xdr:col>7</xdr:col>
                    <xdr:colOff>133350</xdr:colOff>
                    <xdr:row>88</xdr:row>
                    <xdr:rowOff>85725</xdr:rowOff>
                  </to>
                </anchor>
              </controlPr>
            </control>
          </mc:Choice>
        </mc:AlternateContent>
        <mc:AlternateContent xmlns:mc="http://schemas.openxmlformats.org/markup-compatibility/2006">
          <mc:Choice Requires="x14">
            <control shapeId="68612" r:id="rId7" name="Button 4">
              <controlPr defaultSize="0" print="0" autoFill="0" autoPict="0" macro="[0]!Lesson_number">
                <anchor moveWithCells="1" sizeWithCells="1">
                  <from>
                    <xdr:col>4</xdr:col>
                    <xdr:colOff>590550</xdr:colOff>
                    <xdr:row>102</xdr:row>
                    <xdr:rowOff>19050</xdr:rowOff>
                  </from>
                  <to>
                    <xdr:col>7</xdr:col>
                    <xdr:colOff>247650</xdr:colOff>
                    <xdr:row>106</xdr:row>
                    <xdr:rowOff>38100</xdr:rowOff>
                  </to>
                </anchor>
              </controlPr>
            </control>
          </mc:Choice>
        </mc:AlternateContent>
        <mc:AlternateContent xmlns:mc="http://schemas.openxmlformats.org/markup-compatibility/2006">
          <mc:Choice Requires="x14">
            <control shapeId="68613" r:id="rId8" name="Button 5">
              <controlPr defaultSize="0" print="0" autoFill="0" autoPict="0" macro="[0]!fill_the_course_details_001">
                <anchor moveWithCells="1" sizeWithCells="1">
                  <from>
                    <xdr:col>5</xdr:col>
                    <xdr:colOff>9525</xdr:colOff>
                    <xdr:row>90</xdr:row>
                    <xdr:rowOff>95250</xdr:rowOff>
                  </from>
                  <to>
                    <xdr:col>7</xdr:col>
                    <xdr:colOff>581025</xdr:colOff>
                    <xdr:row>93</xdr:row>
                    <xdr:rowOff>123825</xdr:rowOff>
                  </to>
                </anchor>
              </controlPr>
            </control>
          </mc:Choice>
        </mc:AlternateContent>
        <mc:AlternateContent xmlns:mc="http://schemas.openxmlformats.org/markup-compatibility/2006">
          <mc:Choice Requires="x14">
            <control shapeId="68614" r:id="rId9" name="Button 6">
              <controlPr defaultSize="0" print="0" autoFill="0" autoPict="0" macro="[0]!Course_fill">
                <anchor moveWithCells="1" sizeWithCells="1">
                  <from>
                    <xdr:col>4</xdr:col>
                    <xdr:colOff>609600</xdr:colOff>
                    <xdr:row>96</xdr:row>
                    <xdr:rowOff>0</xdr:rowOff>
                  </from>
                  <to>
                    <xdr:col>7</xdr:col>
                    <xdr:colOff>142875</xdr:colOff>
                    <xdr:row>99</xdr:row>
                    <xdr:rowOff>57150</xdr:rowOff>
                  </to>
                </anchor>
              </controlPr>
            </control>
          </mc:Choice>
        </mc:AlternateContent>
        <mc:AlternateContent xmlns:mc="http://schemas.openxmlformats.org/markup-compatibility/2006">
          <mc:Choice Requires="x14">
            <control shapeId="68615" r:id="rId10" name="Button 7">
              <controlPr defaultSize="0" print="0" autoFill="0" autoPict="0" macro="[0]!Delete_Exporter" altText="Reset_Exporter">
                <anchor moveWithCells="1">
                  <from>
                    <xdr:col>0</xdr:col>
                    <xdr:colOff>438150</xdr:colOff>
                    <xdr:row>67</xdr:row>
                    <xdr:rowOff>123825</xdr:rowOff>
                  </from>
                  <to>
                    <xdr:col>1</xdr:col>
                    <xdr:colOff>247650</xdr:colOff>
                    <xdr:row>70</xdr:row>
                    <xdr:rowOff>9525</xdr:rowOff>
                  </to>
                </anchor>
              </controlPr>
            </control>
          </mc:Choice>
        </mc:AlternateContent>
        <mc:AlternateContent xmlns:mc="http://schemas.openxmlformats.org/markup-compatibility/2006">
          <mc:Choice Requires="x14">
            <control shapeId="68616" r:id="rId11" name="Button 8">
              <controlPr defaultSize="0" print="0" autoFill="0" autoPict="0" macro="[0]!All_Data_filled_main">
                <anchor moveWithCells="1">
                  <from>
                    <xdr:col>0</xdr:col>
                    <xdr:colOff>257175</xdr:colOff>
                    <xdr:row>88</xdr:row>
                    <xdr:rowOff>133350</xdr:rowOff>
                  </from>
                  <to>
                    <xdr:col>0</xdr:col>
                    <xdr:colOff>1714500</xdr:colOff>
                    <xdr:row>91</xdr:row>
                    <xdr:rowOff>152400</xdr:rowOff>
                  </to>
                </anchor>
              </controlPr>
            </control>
          </mc:Choice>
        </mc:AlternateContent>
        <mc:AlternateContent xmlns:mc="http://schemas.openxmlformats.org/markup-compatibility/2006">
          <mc:Choice Requires="x14">
            <control shapeId="68617" r:id="rId12" name="Button 9">
              <controlPr defaultSize="0" print="0" autoFill="0" autoPict="0" macro="[0]!Python_data_writer">
                <anchor moveWithCells="1">
                  <from>
                    <xdr:col>0</xdr:col>
                    <xdr:colOff>990600</xdr:colOff>
                    <xdr:row>107</xdr:row>
                    <xdr:rowOff>76200</xdr:rowOff>
                  </from>
                  <to>
                    <xdr:col>1</xdr:col>
                    <xdr:colOff>752475</xdr:colOff>
                    <xdr:row>110</xdr:row>
                    <xdr:rowOff>19050</xdr:rowOff>
                  </to>
                </anchor>
              </controlPr>
            </control>
          </mc:Choice>
        </mc:AlternateContent>
        <mc:AlternateContent xmlns:mc="http://schemas.openxmlformats.org/markup-compatibility/2006">
          <mc:Choice Requires="x14">
            <control shapeId="68618" r:id="rId13" name="Button 10">
              <controlPr defaultSize="0" print="0" autoFill="0" autoPict="0" macro="[0]!Save_CSV">
                <anchor moveWithCells="1" sizeWithCells="1">
                  <from>
                    <xdr:col>0</xdr:col>
                    <xdr:colOff>1047750</xdr:colOff>
                    <xdr:row>111</xdr:row>
                    <xdr:rowOff>57150</xdr:rowOff>
                  </from>
                  <to>
                    <xdr:col>2</xdr:col>
                    <xdr:colOff>285750</xdr:colOff>
                    <xdr:row>113</xdr:row>
                    <xdr:rowOff>161925</xdr:rowOff>
                  </to>
                </anchor>
              </controlPr>
            </control>
          </mc:Choice>
        </mc:AlternateContent>
        <mc:AlternateContent xmlns:mc="http://schemas.openxmlformats.org/markup-compatibility/2006">
          <mc:Choice Requires="x14">
            <control shapeId="68619" r:id="rId14" name="Button 11">
              <controlPr defaultSize="0" print="0" autoFill="0" autoPict="0" macro="[0]!Delete_Exporter" altText="Reset_Exporter">
                <anchor moveWithCells="1">
                  <from>
                    <xdr:col>0</xdr:col>
                    <xdr:colOff>1009650</xdr:colOff>
                    <xdr:row>101</xdr:row>
                    <xdr:rowOff>152400</xdr:rowOff>
                  </from>
                  <to>
                    <xdr:col>1</xdr:col>
                    <xdr:colOff>819150</xdr:colOff>
                    <xdr:row>104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See Data tab for full description of each scale level" xr:uid="{5C10062E-9F87-4BC4-B560-4C7E384499D7}">
          <x14:formula1>
            <xm:f>DATA!$A$2:$A$6</xm:f>
          </x14:formula1>
          <xm:sqref>B11:C11</xm:sqref>
        </x14:dataValidation>
        <x14:dataValidation type="list" allowBlank="1" showInputMessage="1" showErrorMessage="1" xr:uid="{A5D41D42-DCB9-4585-8CA1-FDA638F640BD}">
          <x14:formula1>
            <xm:f>Variables!$A$1:$A$4</xm:f>
          </x14:formula1>
          <xm:sqref>B2:C2</xm:sqref>
        </x14:dataValidation>
        <x14:dataValidation type="list" allowBlank="1" showInputMessage="1" showErrorMessage="1" xr:uid="{07C99CA3-5ECA-4710-8CE8-F89C90DDDDFE}">
          <x14:formula1>
            <xm:f>Variables!$Q$1:$Q$3</xm:f>
          </x14:formula1>
          <xm:sqref>B3:C3</xm:sqref>
        </x14:dataValidation>
        <x14:dataValidation type="list" allowBlank="1" showInputMessage="1" showErrorMessage="1" xr:uid="{3BDB7E6E-D776-471C-AD68-F685500F5AB9}">
          <x14:formula1>
            <xm:f>Variables!$H$1:$H$9</xm:f>
          </x14:formula1>
          <xm:sqref>B8:C8</xm:sqref>
        </x14:dataValidation>
        <x14:dataValidation type="list" allowBlank="1" showInputMessage="1" showErrorMessage="1" xr:uid="{05970ED5-FCF1-44E9-9BF6-CBD93E5A464B}">
          <x14:formula1>
            <xm:f>Variables!$F$1:$F$3</xm:f>
          </x14:formula1>
          <xm:sqref>C60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5764F-322D-416E-A428-A95C3DCB0432}">
  <sheetPr codeName="Sheet17">
    <tabColor theme="9" tint="0.59999389629810485"/>
    <pageSetUpPr fitToPage="1"/>
  </sheetPr>
  <dimension ref="A1:L163"/>
  <sheetViews>
    <sheetView zoomScale="90" zoomScaleNormal="90" workbookViewId="0">
      <selection activeCell="C7" sqref="C7"/>
    </sheetView>
  </sheetViews>
  <sheetFormatPr defaultColWidth="9.140625" defaultRowHeight="12.75" x14ac:dyDescent="0.2"/>
  <cols>
    <col min="1" max="1" width="9.85546875" style="7" customWidth="1"/>
    <col min="2" max="2" width="21.140625" style="1" hidden="1" customWidth="1"/>
    <col min="3" max="3" width="27.28515625" style="1" customWidth="1"/>
    <col min="4" max="7" width="59.85546875" style="1" customWidth="1"/>
    <col min="8" max="9" width="32.140625" style="1" customWidth="1"/>
    <col min="10" max="10" width="16" style="1" customWidth="1"/>
    <col min="11" max="11" width="23.5703125" style="1" customWidth="1"/>
    <col min="12" max="12" width="24" style="1" customWidth="1"/>
    <col min="13" max="16384" width="9.140625" style="1"/>
  </cols>
  <sheetData>
    <row r="1" spans="1:12" ht="15" customHeight="1" x14ac:dyDescent="0.25">
      <c r="A1" s="243" t="s">
        <v>73</v>
      </c>
      <c r="B1" s="244"/>
      <c r="C1" s="244"/>
      <c r="D1" s="245"/>
      <c r="E1" s="245"/>
      <c r="F1" s="245"/>
    </row>
    <row r="3" spans="1:12" ht="17.649999999999999" customHeight="1" x14ac:dyDescent="0.25">
      <c r="A3" s="243" t="s">
        <v>74</v>
      </c>
      <c r="B3" s="244"/>
      <c r="C3" s="244"/>
      <c r="D3" s="244"/>
      <c r="E3" s="244"/>
      <c r="F3" s="244"/>
      <c r="G3" s="2"/>
      <c r="H3" s="2"/>
      <c r="I3" s="2"/>
      <c r="J3" s="2"/>
    </row>
    <row r="4" spans="1:12" ht="168" customHeight="1" x14ac:dyDescent="0.2">
      <c r="A4" s="173" t="str">
        <f>'Project Info Tab'!A41:C41</f>
        <v xml:space="preserve">This course demonstrates how to use regular expressions within VS Code. Students will learn to identify and modify existing regular expressions and create regular expressions to complete 'en masse' search and replace operations on clear text documents. These skills empower authors of text content to quickly and efficiently make changes across one or more files more easily than using default search and replace tools. </v>
      </c>
      <c r="B4" s="174"/>
      <c r="C4" s="174"/>
      <c r="D4" s="174"/>
      <c r="E4" s="174"/>
      <c r="F4" s="174"/>
      <c r="G4" s="46"/>
      <c r="H4" s="46"/>
      <c r="I4" s="46"/>
      <c r="J4" s="46"/>
    </row>
    <row r="5" spans="1:12" ht="15" x14ac:dyDescent="0.25">
      <c r="A5" s="14"/>
    </row>
    <row r="6" spans="1:12" x14ac:dyDescent="0.2">
      <c r="A6" s="73" t="s">
        <v>75</v>
      </c>
      <c r="B6" s="30" t="s">
        <v>407</v>
      </c>
      <c r="C6" s="30" t="s">
        <v>183</v>
      </c>
      <c r="D6" s="11" t="s">
        <v>189</v>
      </c>
      <c r="E6" s="40" t="s">
        <v>408</v>
      </c>
      <c r="F6" s="40" t="s">
        <v>409</v>
      </c>
      <c r="G6" s="11" t="s">
        <v>77</v>
      </c>
      <c r="H6" s="11" t="s">
        <v>410</v>
      </c>
      <c r="I6" s="40" t="s">
        <v>212</v>
      </c>
      <c r="J6" s="12" t="s">
        <v>81</v>
      </c>
    </row>
    <row r="7" spans="1:12" ht="12.75" customHeight="1" x14ac:dyDescent="0.2">
      <c r="A7" s="98">
        <v>1</v>
      </c>
      <c r="B7" s="99"/>
      <c r="C7" s="99"/>
      <c r="D7" s="136"/>
      <c r="E7" s="100"/>
      <c r="F7" s="101"/>
      <c r="G7" s="98"/>
      <c r="H7" s="100"/>
      <c r="I7" s="101"/>
      <c r="J7" s="102"/>
    </row>
    <row r="8" spans="1:12" x14ac:dyDescent="0.2">
      <c r="A8" s="103">
        <f>1+A7</f>
        <v>2</v>
      </c>
      <c r="B8" s="104"/>
      <c r="C8" s="104"/>
      <c r="D8" s="98"/>
      <c r="E8" s="100"/>
      <c r="F8" s="101"/>
      <c r="G8" s="100"/>
      <c r="H8" s="98"/>
      <c r="I8" s="100"/>
      <c r="J8" s="105"/>
    </row>
    <row r="9" spans="1:12" x14ac:dyDescent="0.2">
      <c r="A9" s="103">
        <f t="shared" ref="A9:A26" si="0">1+A8</f>
        <v>3</v>
      </c>
      <c r="B9" s="104"/>
      <c r="C9" s="104"/>
      <c r="D9" s="98"/>
      <c r="E9" s="100"/>
      <c r="F9" s="101"/>
      <c r="G9" s="100"/>
      <c r="H9" s="98"/>
      <c r="I9" s="100"/>
      <c r="J9" s="105"/>
    </row>
    <row r="10" spans="1:12" x14ac:dyDescent="0.2">
      <c r="A10" s="103">
        <f t="shared" si="0"/>
        <v>4</v>
      </c>
      <c r="B10" s="106"/>
      <c r="C10" s="106"/>
      <c r="D10" s="98"/>
      <c r="E10" s="100"/>
      <c r="F10" s="101"/>
      <c r="G10" s="100"/>
      <c r="H10" s="98"/>
      <c r="I10" s="100"/>
      <c r="J10" s="102"/>
    </row>
    <row r="11" spans="1:12" x14ac:dyDescent="0.2">
      <c r="A11" s="103">
        <f>1+A10</f>
        <v>5</v>
      </c>
      <c r="B11" s="107"/>
      <c r="C11" s="107"/>
      <c r="D11" s="108"/>
      <c r="E11" s="108"/>
      <c r="F11" s="109"/>
      <c r="G11" s="100"/>
      <c r="H11" s="108"/>
      <c r="I11" s="108"/>
      <c r="J11" s="110"/>
    </row>
    <row r="12" spans="1:12" x14ac:dyDescent="0.2">
      <c r="A12" s="103">
        <f t="shared" si="0"/>
        <v>6</v>
      </c>
      <c r="B12" s="104"/>
      <c r="C12" s="104"/>
      <c r="D12" s="100"/>
      <c r="E12" s="100"/>
      <c r="F12" s="101"/>
      <c r="G12" s="100"/>
      <c r="H12" s="100"/>
      <c r="I12" s="100"/>
      <c r="J12" s="102"/>
    </row>
    <row r="13" spans="1:12" x14ac:dyDescent="0.2">
      <c r="A13" s="103">
        <f t="shared" si="0"/>
        <v>7</v>
      </c>
      <c r="B13" s="104"/>
      <c r="C13" s="104"/>
      <c r="D13" s="100"/>
      <c r="E13" s="100"/>
      <c r="F13" s="101"/>
      <c r="G13" s="100"/>
      <c r="H13" s="100"/>
      <c r="I13" s="100"/>
      <c r="J13" s="102"/>
      <c r="K13" s="74"/>
      <c r="L13" s="74"/>
    </row>
    <row r="14" spans="1:12" x14ac:dyDescent="0.2">
      <c r="A14" s="103">
        <f t="shared" si="0"/>
        <v>8</v>
      </c>
      <c r="B14" s="104"/>
      <c r="C14" s="104"/>
      <c r="D14" s="100"/>
      <c r="E14" s="100"/>
      <c r="F14" s="108"/>
      <c r="G14" s="100"/>
      <c r="H14" s="100"/>
      <c r="I14" s="100"/>
      <c r="J14" s="102"/>
      <c r="K14" s="74"/>
      <c r="L14" s="74"/>
    </row>
    <row r="15" spans="1:12" x14ac:dyDescent="0.2">
      <c r="A15" s="103">
        <f t="shared" si="0"/>
        <v>9</v>
      </c>
      <c r="B15" s="104"/>
      <c r="C15" s="104"/>
      <c r="D15" s="100"/>
      <c r="E15" s="100"/>
      <c r="F15" s="108"/>
      <c r="G15" s="100"/>
      <c r="H15" s="100"/>
      <c r="I15" s="100"/>
      <c r="J15" s="102"/>
      <c r="K15" s="74"/>
      <c r="L15" s="74"/>
    </row>
    <row r="16" spans="1:12" x14ac:dyDescent="0.2">
      <c r="A16" s="103">
        <f t="shared" si="0"/>
        <v>10</v>
      </c>
      <c r="B16" s="104"/>
      <c r="C16" s="104"/>
      <c r="D16" s="100"/>
      <c r="E16" s="100"/>
      <c r="F16" s="101"/>
      <c r="G16" s="100"/>
      <c r="H16" s="100"/>
      <c r="I16" s="100"/>
      <c r="J16" s="102"/>
    </row>
    <row r="17" spans="1:12" x14ac:dyDescent="0.2">
      <c r="A17" s="103">
        <f t="shared" si="0"/>
        <v>11</v>
      </c>
      <c r="B17" s="104"/>
      <c r="C17" s="104"/>
      <c r="D17" s="100"/>
      <c r="E17" s="100"/>
      <c r="F17" s="108"/>
      <c r="G17" s="100"/>
      <c r="H17" s="100"/>
      <c r="I17" s="100"/>
      <c r="J17" s="102"/>
      <c r="L17" s="2"/>
    </row>
    <row r="18" spans="1:12" x14ac:dyDescent="0.2">
      <c r="A18" s="103">
        <f t="shared" si="0"/>
        <v>12</v>
      </c>
      <c r="B18" s="104"/>
      <c r="C18" s="104"/>
      <c r="D18" s="100"/>
      <c r="E18" s="111"/>
      <c r="F18" s="108"/>
      <c r="G18" s="100"/>
      <c r="H18" s="100"/>
      <c r="I18" s="100"/>
      <c r="J18" s="102"/>
    </row>
    <row r="19" spans="1:12" x14ac:dyDescent="0.2">
      <c r="A19" s="103">
        <f t="shared" si="0"/>
        <v>13</v>
      </c>
      <c r="B19" s="104"/>
      <c r="C19" s="104"/>
      <c r="D19" s="100"/>
      <c r="E19" s="111"/>
      <c r="F19" s="108"/>
      <c r="G19" s="100"/>
      <c r="H19" s="100"/>
      <c r="I19" s="100"/>
      <c r="J19" s="102"/>
    </row>
    <row r="20" spans="1:12" x14ac:dyDescent="0.2">
      <c r="A20" s="103">
        <f t="shared" si="0"/>
        <v>14</v>
      </c>
      <c r="B20" s="104"/>
      <c r="C20" s="104"/>
      <c r="D20" s="100"/>
      <c r="E20" s="111"/>
      <c r="F20" s="108"/>
      <c r="G20" s="100"/>
      <c r="H20" s="100"/>
      <c r="I20" s="100"/>
      <c r="J20" s="102"/>
    </row>
    <row r="21" spans="1:12" x14ac:dyDescent="0.2">
      <c r="A21" s="103">
        <f t="shared" si="0"/>
        <v>15</v>
      </c>
      <c r="B21" s="104"/>
      <c r="C21" s="104"/>
      <c r="D21" s="100"/>
      <c r="E21" s="112"/>
      <c r="F21" s="113"/>
      <c r="G21" s="100"/>
      <c r="H21" s="100"/>
      <c r="I21" s="100"/>
      <c r="J21" s="102"/>
    </row>
    <row r="22" spans="1:12" x14ac:dyDescent="0.2">
      <c r="A22" s="103">
        <f t="shared" si="0"/>
        <v>16</v>
      </c>
      <c r="B22" s="104"/>
      <c r="C22" s="104"/>
      <c r="D22" s="100"/>
      <c r="E22" s="111"/>
      <c r="F22" s="108"/>
      <c r="G22" s="100"/>
      <c r="H22" s="100"/>
      <c r="I22" s="100"/>
      <c r="J22" s="102"/>
    </row>
    <row r="23" spans="1:12" x14ac:dyDescent="0.2">
      <c r="A23" s="103">
        <f t="shared" si="0"/>
        <v>17</v>
      </c>
      <c r="B23" s="104"/>
      <c r="C23" s="104"/>
      <c r="D23" s="100"/>
      <c r="E23" s="111"/>
      <c r="F23" s="114"/>
      <c r="G23" s="100"/>
      <c r="H23" s="100"/>
      <c r="I23" s="100"/>
      <c r="J23" s="102"/>
    </row>
    <row r="24" spans="1:12" x14ac:dyDescent="0.2">
      <c r="A24" s="103">
        <f t="shared" si="0"/>
        <v>18</v>
      </c>
      <c r="B24" s="104"/>
      <c r="C24" s="104"/>
      <c r="D24" s="100"/>
      <c r="E24" s="115"/>
      <c r="F24" s="115"/>
      <c r="G24" s="100"/>
      <c r="H24" s="100"/>
      <c r="I24" s="100"/>
      <c r="J24" s="102"/>
    </row>
    <row r="25" spans="1:12" x14ac:dyDescent="0.2">
      <c r="A25" s="103">
        <f t="shared" si="0"/>
        <v>19</v>
      </c>
      <c r="B25" s="104"/>
      <c r="C25" s="104"/>
      <c r="D25" s="100"/>
      <c r="E25" s="115"/>
      <c r="F25" s="115"/>
      <c r="G25" s="100"/>
      <c r="H25" s="100"/>
      <c r="I25" s="100"/>
      <c r="J25" s="102"/>
    </row>
    <row r="26" spans="1:12" x14ac:dyDescent="0.2">
      <c r="A26" s="103">
        <f t="shared" si="0"/>
        <v>20</v>
      </c>
      <c r="B26" s="116"/>
      <c r="C26" s="116"/>
      <c r="D26" s="111"/>
      <c r="E26" s="115"/>
      <c r="F26" s="115"/>
      <c r="G26" s="111"/>
      <c r="H26" s="111"/>
      <c r="I26" s="111"/>
      <c r="J26" s="102"/>
    </row>
    <row r="27" spans="1:12" x14ac:dyDescent="0.2">
      <c r="A27" s="1"/>
    </row>
    <row r="28" spans="1:12" x14ac:dyDescent="0.2">
      <c r="A28" s="1"/>
    </row>
    <row r="29" spans="1:12" x14ac:dyDescent="0.2">
      <c r="A29" s="1"/>
    </row>
    <row r="30" spans="1:12" x14ac:dyDescent="0.2">
      <c r="A30" s="1"/>
    </row>
    <row r="31" spans="1:12" x14ac:dyDescent="0.2">
      <c r="A31" s="1"/>
    </row>
    <row r="32" spans="1:12" x14ac:dyDescent="0.2">
      <c r="A32" s="1"/>
    </row>
    <row r="33" s="1" customFormat="1" x14ac:dyDescent="0.2"/>
    <row r="34" s="1" customFormat="1" x14ac:dyDescent="0.2"/>
    <row r="35" s="1" customFormat="1" x14ac:dyDescent="0.2"/>
    <row r="36" s="1" customFormat="1" x14ac:dyDescent="0.2"/>
    <row r="37" s="1" customFormat="1" x14ac:dyDescent="0.2"/>
    <row r="38" s="1" customFormat="1" x14ac:dyDescent="0.2"/>
    <row r="39" s="1" customFormat="1" x14ac:dyDescent="0.2"/>
    <row r="40" s="1" customFormat="1" x14ac:dyDescent="0.2"/>
    <row r="41" s="1" customFormat="1" x14ac:dyDescent="0.2"/>
    <row r="42" s="1" customFormat="1" x14ac:dyDescent="0.2"/>
    <row r="43" s="1" customFormat="1" x14ac:dyDescent="0.2"/>
    <row r="44" s="1" customFormat="1" x14ac:dyDescent="0.2"/>
    <row r="45" s="1" customFormat="1" x14ac:dyDescent="0.2"/>
    <row r="46" s="1" customFormat="1" x14ac:dyDescent="0.2"/>
    <row r="47" s="1" customFormat="1" x14ac:dyDescent="0.2"/>
    <row r="48" s="1" customFormat="1" x14ac:dyDescent="0.2"/>
    <row r="49" s="1" customFormat="1" x14ac:dyDescent="0.2"/>
    <row r="50" s="1" customFormat="1" x14ac:dyDescent="0.2"/>
    <row r="51" s="1" customFormat="1" x14ac:dyDescent="0.2"/>
    <row r="52" s="1" customFormat="1" x14ac:dyDescent="0.2"/>
    <row r="53" s="1" customFormat="1" x14ac:dyDescent="0.2"/>
    <row r="54" s="1" customFormat="1" x14ac:dyDescent="0.2"/>
    <row r="55" s="1" customFormat="1" x14ac:dyDescent="0.2"/>
    <row r="56" s="1" customFormat="1" x14ac:dyDescent="0.2"/>
    <row r="57" s="1" customFormat="1" x14ac:dyDescent="0.2"/>
    <row r="58" s="1" customFormat="1" x14ac:dyDescent="0.2"/>
    <row r="59" s="1" customFormat="1" x14ac:dyDescent="0.2"/>
    <row r="60" s="1" customFormat="1" x14ac:dyDescent="0.2"/>
    <row r="61" s="1" customFormat="1" x14ac:dyDescent="0.2"/>
    <row r="62" s="1" customFormat="1" x14ac:dyDescent="0.2"/>
    <row r="63" s="1" customFormat="1" x14ac:dyDescent="0.2"/>
    <row r="64" s="1" customFormat="1" x14ac:dyDescent="0.2"/>
    <row r="65" s="1" customFormat="1" x14ac:dyDescent="0.2"/>
    <row r="66" s="1" customFormat="1" x14ac:dyDescent="0.2"/>
    <row r="67" s="1" customFormat="1" x14ac:dyDescent="0.2"/>
    <row r="68" s="1" customFormat="1" x14ac:dyDescent="0.2"/>
    <row r="69" s="1" customFormat="1" x14ac:dyDescent="0.2"/>
    <row r="70" s="1" customFormat="1" x14ac:dyDescent="0.2"/>
    <row r="71" s="1" customFormat="1" x14ac:dyDescent="0.2"/>
    <row r="72" s="1" customFormat="1" x14ac:dyDescent="0.2"/>
    <row r="73" s="1" customFormat="1" x14ac:dyDescent="0.2"/>
    <row r="74" s="1" customFormat="1" x14ac:dyDescent="0.2"/>
    <row r="75" s="1" customFormat="1" x14ac:dyDescent="0.2"/>
    <row r="76" s="1" customFormat="1" x14ac:dyDescent="0.2"/>
    <row r="77" s="1" customFormat="1" x14ac:dyDescent="0.2"/>
    <row r="78" s="1" customFormat="1" x14ac:dyDescent="0.2"/>
    <row r="79" s="1" customFormat="1" x14ac:dyDescent="0.2"/>
    <row r="80" s="1" customFormat="1" x14ac:dyDescent="0.2"/>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pans="1:1" x14ac:dyDescent="0.2">
      <c r="A113" s="1"/>
    </row>
    <row r="114" spans="1:1" x14ac:dyDescent="0.2">
      <c r="A114" s="1"/>
    </row>
    <row r="115" spans="1:1" x14ac:dyDescent="0.2">
      <c r="A115" s="1"/>
    </row>
    <row r="116" spans="1:1" x14ac:dyDescent="0.2">
      <c r="A116" s="1"/>
    </row>
    <row r="117" spans="1:1" x14ac:dyDescent="0.2">
      <c r="A117" s="1"/>
    </row>
    <row r="118" spans="1:1" x14ac:dyDescent="0.2">
      <c r="A118" s="1"/>
    </row>
    <row r="119" spans="1:1" x14ac:dyDescent="0.2">
      <c r="A119" s="1"/>
    </row>
    <row r="120" spans="1:1" x14ac:dyDescent="0.2">
      <c r="A120" s="1"/>
    </row>
    <row r="121" spans="1:1" x14ac:dyDescent="0.2">
      <c r="A121" s="1"/>
    </row>
    <row r="122" spans="1:1" x14ac:dyDescent="0.2">
      <c r="A122" s="1"/>
    </row>
    <row r="123" spans="1:1" x14ac:dyDescent="0.2">
      <c r="A123" s="1"/>
    </row>
    <row r="124" spans="1:1" x14ac:dyDescent="0.2">
      <c r="A124" s="1"/>
    </row>
    <row r="125" spans="1:1" x14ac:dyDescent="0.2">
      <c r="A125" s="1"/>
    </row>
    <row r="126" spans="1:1" x14ac:dyDescent="0.2">
      <c r="A126" s="1"/>
    </row>
    <row r="127" spans="1:1" x14ac:dyDescent="0.2">
      <c r="A127" s="1"/>
    </row>
    <row r="128" spans="1:1" x14ac:dyDescent="0.2">
      <c r="A128" s="1"/>
    </row>
    <row r="129" spans="1:1" x14ac:dyDescent="0.2">
      <c r="A129" s="1"/>
    </row>
    <row r="130" spans="1:1" x14ac:dyDescent="0.2">
      <c r="A130" s="1"/>
    </row>
    <row r="131" spans="1:1" x14ac:dyDescent="0.2">
      <c r="A131" s="1"/>
    </row>
    <row r="132" spans="1:1" x14ac:dyDescent="0.2">
      <c r="A132" s="1"/>
    </row>
    <row r="133" spans="1:1" x14ac:dyDescent="0.2">
      <c r="A133" s="1"/>
    </row>
    <row r="134" spans="1:1" x14ac:dyDescent="0.2">
      <c r="A134" s="1"/>
    </row>
    <row r="135" spans="1:1" x14ac:dyDescent="0.2">
      <c r="A135" s="1"/>
    </row>
    <row r="136" spans="1:1" x14ac:dyDescent="0.2">
      <c r="A136" s="1"/>
    </row>
    <row r="137" spans="1:1" x14ac:dyDescent="0.2">
      <c r="A137" s="1"/>
    </row>
    <row r="138" spans="1:1" x14ac:dyDescent="0.2">
      <c r="A138" s="1"/>
    </row>
    <row r="139" spans="1:1" x14ac:dyDescent="0.2">
      <c r="A139" s="1"/>
    </row>
    <row r="140" spans="1:1" x14ac:dyDescent="0.2">
      <c r="A140" s="1"/>
    </row>
    <row r="141" spans="1:1" x14ac:dyDescent="0.2">
      <c r="A141" s="1"/>
    </row>
    <row r="142" spans="1:1" x14ac:dyDescent="0.2">
      <c r="A142" s="1"/>
    </row>
    <row r="143" spans="1:1" x14ac:dyDescent="0.2">
      <c r="A143" s="1"/>
    </row>
    <row r="144" spans="1:1" x14ac:dyDescent="0.2">
      <c r="A144" s="1"/>
    </row>
    <row r="145" spans="1:1" x14ac:dyDescent="0.2">
      <c r="A145" s="1"/>
    </row>
    <row r="146" spans="1:1" x14ac:dyDescent="0.2">
      <c r="A146" s="1"/>
    </row>
    <row r="147" spans="1:1" x14ac:dyDescent="0.2">
      <c r="A147" s="1"/>
    </row>
    <row r="148" spans="1:1" x14ac:dyDescent="0.2">
      <c r="A148" s="1"/>
    </row>
    <row r="149" spans="1:1" x14ac:dyDescent="0.2">
      <c r="A149" s="1"/>
    </row>
    <row r="150" spans="1:1" x14ac:dyDescent="0.2">
      <c r="A150" s="1"/>
    </row>
    <row r="151" spans="1:1" x14ac:dyDescent="0.2">
      <c r="A151" s="1"/>
    </row>
    <row r="152" spans="1:1" x14ac:dyDescent="0.2">
      <c r="A152" s="1"/>
    </row>
    <row r="153" spans="1:1" x14ac:dyDescent="0.2">
      <c r="A153" s="1"/>
    </row>
    <row r="154" spans="1:1" x14ac:dyDescent="0.2">
      <c r="A154" s="1"/>
    </row>
    <row r="155" spans="1:1" x14ac:dyDescent="0.2">
      <c r="A155" s="1"/>
    </row>
    <row r="156" spans="1:1" x14ac:dyDescent="0.2">
      <c r="A156" s="1"/>
    </row>
    <row r="157" spans="1:1" x14ac:dyDescent="0.2">
      <c r="A157" s="1"/>
    </row>
    <row r="158" spans="1:1" x14ac:dyDescent="0.2">
      <c r="A158" s="1"/>
    </row>
    <row r="159" spans="1:1" x14ac:dyDescent="0.2">
      <c r="A159" s="1"/>
    </row>
    <row r="160" spans="1:1" x14ac:dyDescent="0.2">
      <c r="A160" s="1"/>
    </row>
    <row r="161" spans="1:1" x14ac:dyDescent="0.2">
      <c r="A161" s="1"/>
    </row>
    <row r="162" spans="1:1" x14ac:dyDescent="0.2">
      <c r="A162" s="1"/>
    </row>
    <row r="163" spans="1:1" x14ac:dyDescent="0.2">
      <c r="A163" s="1"/>
    </row>
  </sheetData>
  <sheetProtection formatCells="0" formatColumns="0" formatRows="0" insertRows="0" deleteRows="0"/>
  <mergeCells count="4">
    <mergeCell ref="A4:F4"/>
    <mergeCell ref="A3:F3"/>
    <mergeCell ref="A1:C1"/>
    <mergeCell ref="D1:F1"/>
  </mergeCells>
  <pageMargins left="0.25" right="0.25" top="0.75" bottom="0.75" header="0.3" footer="0.3"/>
  <pageSetup scale="97" fitToHeight="0" orientation="landscape" horizontalDpi="1200" verticalDpi="1200" r:id="rId1"/>
  <headerFooter>
    <oddHeader>&amp;L&amp;"-,Bold"&amp;12&amp;A&amp;C&amp;"-,Bold"&amp;12&amp;F&amp;R&amp;"-,Bold"&amp;12&amp;D</oddHeader>
    <oddFooter>&amp;C&amp;"-,Bold"&amp;12Page &amp;P of &amp;N</oddFooter>
  </headerFooter>
  <legacy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7E689303-0C64-4A6F-9564-F86A62A05E72}">
          <x14:formula1>
            <xm:f>DATA!$A$17:$A$31</xm:f>
          </x14:formula1>
          <xm:sqref>I7:I26</xm:sqref>
        </x14:dataValidation>
        <x14:dataValidation type="list" allowBlank="1" showInputMessage="1" showErrorMessage="1" xr:uid="{9EF56682-FF46-4BB9-BA87-8A2E58498CFC}">
          <x14:formula1>
            <xm:f>DATA!$A$36:$A$45</xm:f>
          </x14:formula1>
          <xm:sqref>F7:F23</xm:sqref>
        </x14:dataValidation>
        <x14:dataValidation type="list" allowBlank="1" showInputMessage="1" showErrorMessage="1" xr:uid="{E013CEAF-85C3-4C5E-976B-9DA4594826B1}">
          <x14:formula1>
            <xm:f>'Template-Project Info Tab'!$A$19:$A$29</xm:f>
          </x14:formula1>
          <xm:sqref>C27:C64</xm:sqref>
        </x14:dataValidation>
        <x14:dataValidation type="list" allowBlank="1" showInputMessage="1" showErrorMessage="1" xr:uid="{A35AF9CE-8659-44D9-8C69-7B0D5B3EA7F6}">
          <x14:formula1>
            <xm:f>'Project Info Tab'!$A$19:$A$29</xm:f>
          </x14:formula1>
          <xm:sqref>C7:C26</xm:sqref>
        </x14:dataValidation>
        <x14:dataValidation type="list" allowBlank="1" showInputMessage="1" showErrorMessage="1" xr:uid="{5AAFC90A-BAD5-4996-8376-160C2F487997}">
          <x14:formula1>
            <xm:f>DATA!$A$11:$A$12</xm:f>
          </x14:formula1>
          <xm:sqref>H7:I26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281A4-B628-427C-A0FA-2609907EAC60}">
  <sheetPr codeName="Sheet15">
    <tabColor theme="0" tint="-4.9989318521683403E-2"/>
    <pageSetUpPr fitToPage="1"/>
  </sheetPr>
  <dimension ref="A1:S61"/>
  <sheetViews>
    <sheetView topLeftCell="A105" zoomScaleNormal="100" workbookViewId="0">
      <selection activeCell="C45" sqref="C45"/>
    </sheetView>
  </sheetViews>
  <sheetFormatPr defaultColWidth="9.140625" defaultRowHeight="12.75" x14ac:dyDescent="0.2"/>
  <cols>
    <col min="1" max="1" width="25.85546875" style="1" customWidth="1"/>
    <col min="2" max="2" width="28.140625" style="1" customWidth="1"/>
    <col min="3" max="3" width="68.85546875" style="1" customWidth="1"/>
    <col min="4" max="16384" width="9.140625" style="1"/>
  </cols>
  <sheetData>
    <row r="1" spans="1:19" ht="12.75" customHeight="1" x14ac:dyDescent="0.2">
      <c r="A1" s="65" t="s">
        <v>0</v>
      </c>
      <c r="B1" s="142" t="s">
        <v>486</v>
      </c>
      <c r="C1" s="143"/>
    </row>
    <row r="2" spans="1:19" ht="12.75" customHeight="1" x14ac:dyDescent="0.2">
      <c r="A2" s="65" t="s">
        <v>1</v>
      </c>
      <c r="B2" s="142" t="s">
        <v>85</v>
      </c>
      <c r="C2" s="143"/>
    </row>
    <row r="3" spans="1:19" ht="12.75" customHeight="1" x14ac:dyDescent="0.2">
      <c r="A3" s="65" t="s">
        <v>2</v>
      </c>
      <c r="B3" s="142" t="s">
        <v>61</v>
      </c>
      <c r="C3" s="143"/>
    </row>
    <row r="4" spans="1:19" ht="12.75" customHeight="1" x14ac:dyDescent="0.2">
      <c r="A4" s="65" t="s">
        <v>3</v>
      </c>
      <c r="B4" s="148">
        <v>45202</v>
      </c>
      <c r="C4" s="149"/>
    </row>
    <row r="5" spans="1:19" ht="12.75" customHeight="1" x14ac:dyDescent="0.2">
      <c r="A5" s="65" t="s">
        <v>4</v>
      </c>
      <c r="B5" s="148">
        <v>45282</v>
      </c>
      <c r="C5" s="149"/>
    </row>
    <row r="6" spans="1:19" ht="12.75" customHeight="1" x14ac:dyDescent="0.2">
      <c r="A6" s="65" t="s">
        <v>393</v>
      </c>
      <c r="B6" s="47"/>
      <c r="C6" s="48"/>
    </row>
    <row r="7" spans="1:19" s="49" customFormat="1" ht="12.75" customHeight="1" x14ac:dyDescent="0.2">
      <c r="A7" s="66"/>
      <c r="B7" s="258"/>
      <c r="C7" s="258"/>
      <c r="D7" s="2"/>
      <c r="E7" s="2"/>
      <c r="F7" s="2"/>
      <c r="G7" s="2"/>
      <c r="H7" s="2"/>
      <c r="I7" s="2"/>
      <c r="J7" s="2"/>
      <c r="K7" s="2"/>
      <c r="L7" s="2"/>
      <c r="M7" s="2"/>
      <c r="N7" s="2"/>
      <c r="O7" s="2"/>
      <c r="P7" s="2"/>
      <c r="Q7" s="2"/>
      <c r="R7" s="2"/>
      <c r="S7" s="2"/>
    </row>
    <row r="8" spans="1:19" ht="12.75" customHeight="1" x14ac:dyDescent="0.2">
      <c r="A8" s="65" t="s">
        <v>5</v>
      </c>
      <c r="B8" s="142" t="s">
        <v>115</v>
      </c>
      <c r="C8" s="143"/>
    </row>
    <row r="9" spans="1:19" ht="12.75" customHeight="1" x14ac:dyDescent="0.2">
      <c r="A9" s="67" t="s">
        <v>394</v>
      </c>
      <c r="B9" s="140" t="s">
        <v>487</v>
      </c>
      <c r="C9" s="140"/>
    </row>
    <row r="10" spans="1:19" ht="12.75" customHeight="1" x14ac:dyDescent="0.2">
      <c r="A10" s="67" t="s">
        <v>395</v>
      </c>
      <c r="B10" s="140" t="s">
        <v>488</v>
      </c>
      <c r="C10" s="140"/>
    </row>
    <row r="11" spans="1:19" ht="12.75" customHeight="1" x14ac:dyDescent="0.2">
      <c r="A11" s="67" t="s">
        <v>396</v>
      </c>
      <c r="B11" s="140" t="s">
        <v>227</v>
      </c>
      <c r="C11" s="140"/>
    </row>
    <row r="12" spans="1:19" ht="12.4" customHeight="1" x14ac:dyDescent="0.2"/>
    <row r="13" spans="1:19" ht="12.75" hidden="1" customHeight="1" x14ac:dyDescent="0.2"/>
    <row r="14" spans="1:19" ht="12.75" hidden="1" customHeight="1" x14ac:dyDescent="0.2"/>
    <row r="15" spans="1:19" ht="76.5" hidden="1" customHeight="1" x14ac:dyDescent="0.2"/>
    <row r="16" spans="1:19" ht="138" customHeight="1" x14ac:dyDescent="0.2">
      <c r="A16" s="64" t="s">
        <v>166</v>
      </c>
      <c r="B16" s="257" t="s">
        <v>489</v>
      </c>
      <c r="C16" s="257"/>
      <c r="D16" s="63"/>
    </row>
    <row r="18" spans="1:3" x14ac:dyDescent="0.2">
      <c r="A18" s="249" t="s">
        <v>490</v>
      </c>
      <c r="B18" s="250"/>
      <c r="C18" s="251"/>
    </row>
    <row r="19" spans="1:3" x14ac:dyDescent="0.2">
      <c r="A19" s="256" t="s">
        <v>413</v>
      </c>
      <c r="B19" s="256"/>
      <c r="C19" s="256"/>
    </row>
    <row r="20" spans="1:3" x14ac:dyDescent="0.2">
      <c r="A20" s="215" t="s">
        <v>491</v>
      </c>
      <c r="B20" s="215"/>
      <c r="C20" s="215"/>
    </row>
    <row r="21" spans="1:3" x14ac:dyDescent="0.2">
      <c r="A21" s="215" t="s">
        <v>492</v>
      </c>
      <c r="B21" s="215"/>
      <c r="C21" s="215"/>
    </row>
    <row r="22" spans="1:3" x14ac:dyDescent="0.2">
      <c r="A22" s="215" t="s">
        <v>493</v>
      </c>
      <c r="B22" s="215"/>
      <c r="C22" s="215"/>
    </row>
    <row r="23" spans="1:3" x14ac:dyDescent="0.2">
      <c r="A23" s="215" t="s">
        <v>494</v>
      </c>
      <c r="B23" s="215"/>
      <c r="C23" s="215"/>
    </row>
    <row r="24" spans="1:3" x14ac:dyDescent="0.2">
      <c r="A24" s="215" t="s">
        <v>495</v>
      </c>
      <c r="B24" s="215"/>
      <c r="C24" s="215"/>
    </row>
    <row r="25" spans="1:3" x14ac:dyDescent="0.2">
      <c r="A25" s="215" t="s">
        <v>496</v>
      </c>
      <c r="B25" s="215"/>
      <c r="C25" s="215"/>
    </row>
    <row r="26" spans="1:3" x14ac:dyDescent="0.2">
      <c r="A26" s="246"/>
      <c r="B26" s="246"/>
      <c r="C26" s="246"/>
    </row>
    <row r="27" spans="1:3" x14ac:dyDescent="0.2">
      <c r="A27" s="97"/>
      <c r="B27" s="97"/>
      <c r="C27" s="97"/>
    </row>
    <row r="28" spans="1:3" x14ac:dyDescent="0.2">
      <c r="A28" s="97"/>
      <c r="B28" s="97"/>
      <c r="C28" s="97"/>
    </row>
    <row r="29" spans="1:3" ht="13.5" customHeight="1" x14ac:dyDescent="0.2">
      <c r="A29" s="255"/>
      <c r="B29" s="255"/>
      <c r="C29" s="255"/>
    </row>
    <row r="30" spans="1:3" ht="12.75" customHeight="1" x14ac:dyDescent="0.2"/>
    <row r="31" spans="1:3" ht="12.75" customHeight="1" x14ac:dyDescent="0.2">
      <c r="A31" s="2"/>
    </row>
    <row r="32" spans="1:3" ht="15" x14ac:dyDescent="0.25">
      <c r="A32" s="252" t="s">
        <v>497</v>
      </c>
      <c r="B32" s="253"/>
      <c r="C32" s="254"/>
    </row>
    <row r="33" spans="1:13" ht="162.75" customHeight="1" x14ac:dyDescent="0.2">
      <c r="A33" s="137" t="s">
        <v>498</v>
      </c>
      <c r="B33" s="138"/>
      <c r="C33" s="139"/>
      <c r="L33" s="4"/>
      <c r="M33" s="5"/>
    </row>
    <row r="34" spans="1:13" ht="15" x14ac:dyDescent="0.2">
      <c r="A34" s="4"/>
      <c r="B34" s="5"/>
    </row>
    <row r="36" spans="1:13" x14ac:dyDescent="0.2">
      <c r="A36" s="144" t="s">
        <v>10</v>
      </c>
      <c r="B36" s="144"/>
      <c r="C36" s="3" t="s">
        <v>11</v>
      </c>
    </row>
    <row r="37" spans="1:13" x14ac:dyDescent="0.2">
      <c r="A37" s="147" t="s">
        <v>12</v>
      </c>
      <c r="B37" s="147"/>
      <c r="C37" s="31" t="s">
        <v>66</v>
      </c>
    </row>
    <row r="38" spans="1:13" x14ac:dyDescent="0.2">
      <c r="A38" s="147" t="s">
        <v>13</v>
      </c>
      <c r="B38" s="147"/>
      <c r="C38" s="6" t="s">
        <v>499</v>
      </c>
    </row>
    <row r="39" spans="1:13" x14ac:dyDescent="0.2">
      <c r="A39" s="147" t="s">
        <v>14</v>
      </c>
      <c r="B39" s="147"/>
      <c r="C39" s="6" t="s">
        <v>405</v>
      </c>
    </row>
    <row r="40" spans="1:13" x14ac:dyDescent="0.2">
      <c r="A40" s="147" t="s">
        <v>15</v>
      </c>
      <c r="B40" s="147"/>
      <c r="C40" s="6" t="s">
        <v>500</v>
      </c>
    </row>
    <row r="41" spans="1:13" x14ac:dyDescent="0.2">
      <c r="A41" s="247" t="s">
        <v>404</v>
      </c>
      <c r="B41" s="248"/>
      <c r="C41" s="6" t="s">
        <v>157</v>
      </c>
    </row>
    <row r="42" spans="1:13" x14ac:dyDescent="0.2">
      <c r="A42" s="147" t="s">
        <v>16</v>
      </c>
      <c r="B42" s="147"/>
      <c r="C42" s="6" t="s">
        <v>405</v>
      </c>
    </row>
    <row r="43" spans="1:13" x14ac:dyDescent="0.2">
      <c r="A43" s="147" t="s">
        <v>17</v>
      </c>
      <c r="B43" s="147"/>
      <c r="C43" s="6" t="s">
        <v>501</v>
      </c>
    </row>
    <row r="44" spans="1:13" x14ac:dyDescent="0.2">
      <c r="A44" s="147" t="s">
        <v>18</v>
      </c>
      <c r="B44" s="147"/>
      <c r="C44" s="6" t="s">
        <v>502</v>
      </c>
    </row>
    <row r="45" spans="1:13" x14ac:dyDescent="0.2">
      <c r="A45" s="147" t="s">
        <v>19</v>
      </c>
      <c r="B45" s="147"/>
      <c r="C45" s="6" t="s">
        <v>69</v>
      </c>
    </row>
    <row r="46" spans="1:13" x14ac:dyDescent="0.2">
      <c r="A46" s="147" t="s">
        <v>70</v>
      </c>
      <c r="B46" s="147"/>
      <c r="C46" s="6" t="s">
        <v>503</v>
      </c>
    </row>
    <row r="60" spans="1:3" x14ac:dyDescent="0.2">
      <c r="A60" s="3" t="s">
        <v>71</v>
      </c>
    </row>
    <row r="61" spans="1:3" x14ac:dyDescent="0.2">
      <c r="A61" s="27" t="s">
        <v>406</v>
      </c>
      <c r="B61" s="28"/>
      <c r="C61" s="28"/>
    </row>
  </sheetData>
  <dataConsolidate/>
  <mergeCells count="34">
    <mergeCell ref="A22:C22"/>
    <mergeCell ref="B1:C1"/>
    <mergeCell ref="B2:C2"/>
    <mergeCell ref="B3:C3"/>
    <mergeCell ref="B4:C4"/>
    <mergeCell ref="B5:C5"/>
    <mergeCell ref="B16:C16"/>
    <mergeCell ref="B7:C7"/>
    <mergeCell ref="B8:C8"/>
    <mergeCell ref="B9:C9"/>
    <mergeCell ref="A20:C20"/>
    <mergeCell ref="A21:C21"/>
    <mergeCell ref="A46:B46"/>
    <mergeCell ref="B10:C10"/>
    <mergeCell ref="B11:C11"/>
    <mergeCell ref="A18:C18"/>
    <mergeCell ref="A38:B38"/>
    <mergeCell ref="A39:B39"/>
    <mergeCell ref="A40:B40"/>
    <mergeCell ref="A42:B42"/>
    <mergeCell ref="A43:B43"/>
    <mergeCell ref="A44:B44"/>
    <mergeCell ref="A32:C32"/>
    <mergeCell ref="A29:C29"/>
    <mergeCell ref="A19:C19"/>
    <mergeCell ref="A36:B36"/>
    <mergeCell ref="A37:B37"/>
    <mergeCell ref="A23:C23"/>
    <mergeCell ref="A26:C26"/>
    <mergeCell ref="A25:C25"/>
    <mergeCell ref="A41:B41"/>
    <mergeCell ref="A45:B45"/>
    <mergeCell ref="A24:C24"/>
    <mergeCell ref="A33:C33"/>
  </mergeCells>
  <dataValidations count="1">
    <dataValidation allowBlank="1" showErrorMessage="1" sqref="B9:C9" xr:uid="{5FFF41D6-223C-4748-AEAE-120D3A869165}"/>
  </dataValidations>
  <pageMargins left="0.25" right="0.25" top="0.75" bottom="0.75" header="0.3" footer="0.3"/>
  <pageSetup scale="99" orientation="portrait" horizontalDpi="1200" verticalDpi="1200" r:id="rId1"/>
  <headerFooter>
    <oddHeader>&amp;L&amp;"-,Bold"&amp;12&amp;A&amp;C&amp;"-,Bold"&amp;12&amp;F&amp;R&amp;"-,Bold"&amp;12&amp;D</oddHeader>
    <oddFooter>&amp;C&amp;"-,Bold"&amp;12Page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All_Data_filled_main">
                <anchor moveWithCells="1">
                  <from>
                    <xdr:col>7</xdr:col>
                    <xdr:colOff>285750</xdr:colOff>
                    <xdr:row>30</xdr:row>
                    <xdr:rowOff>0</xdr:rowOff>
                  </from>
                  <to>
                    <xdr:col>9</xdr:col>
                    <xdr:colOff>66675</xdr:colOff>
                    <xdr:row>31</xdr:row>
                    <xdr:rowOff>152400</xdr:rowOff>
                  </to>
                </anchor>
              </controlPr>
            </control>
          </mc:Choice>
        </mc:AlternateContent>
        <mc:AlternateContent xmlns:mc="http://schemas.openxmlformats.org/markup-compatibility/2006">
          <mc:Choice Requires="x14">
            <control shapeId="48130" r:id="rId5" name="Button 2">
              <controlPr defaultSize="0" print="0" autoFill="0" autoPict="0" macro="[0]!Save_CSV">
                <anchor moveWithCells="1" sizeWithCells="1">
                  <from>
                    <xdr:col>7</xdr:col>
                    <xdr:colOff>266700</xdr:colOff>
                    <xdr:row>32</xdr:row>
                    <xdr:rowOff>66675</xdr:rowOff>
                  </from>
                  <to>
                    <xdr:col>9</xdr:col>
                    <xdr:colOff>76200</xdr:colOff>
                    <xdr:row>32</xdr:row>
                    <xdr:rowOff>361950</xdr:rowOff>
                  </to>
                </anchor>
              </controlPr>
            </control>
          </mc:Choice>
        </mc:AlternateContent>
        <mc:AlternateContent xmlns:mc="http://schemas.openxmlformats.org/markup-compatibility/2006">
          <mc:Choice Requires="x14">
            <control shapeId="48131" r:id="rId6" name="Button 3">
              <controlPr defaultSize="0" print="0" autoFill="0" autoPict="0" macro="[0]!refresh">
                <anchor moveWithCells="1" sizeWithCells="1">
                  <from>
                    <xdr:col>5</xdr:col>
                    <xdr:colOff>95250</xdr:colOff>
                    <xdr:row>71</xdr:row>
                    <xdr:rowOff>19050</xdr:rowOff>
                  </from>
                  <to>
                    <xdr:col>7</xdr:col>
                    <xdr:colOff>133350</xdr:colOff>
                    <xdr:row>74</xdr:row>
                    <xdr:rowOff>85725</xdr:rowOff>
                  </to>
                </anchor>
              </controlPr>
            </control>
          </mc:Choice>
        </mc:AlternateContent>
        <mc:AlternateContent xmlns:mc="http://schemas.openxmlformats.org/markup-compatibility/2006">
          <mc:Choice Requires="x14">
            <control shapeId="48132" r:id="rId7" name="Button 4">
              <controlPr defaultSize="0" print="0" autoFill="0" autoPict="0" macro="[0]!Lesson_number">
                <anchor moveWithCells="1" sizeWithCells="1">
                  <from>
                    <xdr:col>4</xdr:col>
                    <xdr:colOff>590550</xdr:colOff>
                    <xdr:row>88</xdr:row>
                    <xdr:rowOff>19050</xdr:rowOff>
                  </from>
                  <to>
                    <xdr:col>7</xdr:col>
                    <xdr:colOff>247650</xdr:colOff>
                    <xdr:row>92</xdr:row>
                    <xdr:rowOff>38100</xdr:rowOff>
                  </to>
                </anchor>
              </controlPr>
            </control>
          </mc:Choice>
        </mc:AlternateContent>
        <mc:AlternateContent xmlns:mc="http://schemas.openxmlformats.org/markup-compatibility/2006">
          <mc:Choice Requires="x14">
            <control shapeId="48133" r:id="rId8" name="Button 5">
              <controlPr defaultSize="0" print="0" autoFill="0" autoPict="0" macro="[0]!fill_the_course_details_001">
                <anchor moveWithCells="1" sizeWithCells="1">
                  <from>
                    <xdr:col>5</xdr:col>
                    <xdr:colOff>9525</xdr:colOff>
                    <xdr:row>76</xdr:row>
                    <xdr:rowOff>95250</xdr:rowOff>
                  </from>
                  <to>
                    <xdr:col>7</xdr:col>
                    <xdr:colOff>581025</xdr:colOff>
                    <xdr:row>79</xdr:row>
                    <xdr:rowOff>123825</xdr:rowOff>
                  </to>
                </anchor>
              </controlPr>
            </control>
          </mc:Choice>
        </mc:AlternateContent>
        <mc:AlternateContent xmlns:mc="http://schemas.openxmlformats.org/markup-compatibility/2006">
          <mc:Choice Requires="x14">
            <control shapeId="48134" r:id="rId9" name="Button 6">
              <controlPr defaultSize="0" print="0" autoFill="0" autoPict="0" macro="[0]!Course_fill">
                <anchor moveWithCells="1" sizeWithCells="1">
                  <from>
                    <xdr:col>4</xdr:col>
                    <xdr:colOff>609600</xdr:colOff>
                    <xdr:row>82</xdr:row>
                    <xdr:rowOff>0</xdr:rowOff>
                  </from>
                  <to>
                    <xdr:col>7</xdr:col>
                    <xdr:colOff>142875</xdr:colOff>
                    <xdr:row>85</xdr:row>
                    <xdr:rowOff>57150</xdr:rowOff>
                  </to>
                </anchor>
              </controlPr>
            </control>
          </mc:Choice>
        </mc:AlternateContent>
        <mc:AlternateContent xmlns:mc="http://schemas.openxmlformats.org/markup-compatibility/2006">
          <mc:Choice Requires="x14">
            <control shapeId="48135" r:id="rId10" name="Button 7">
              <controlPr defaultSize="0" print="0" autoFill="0" autoPict="0" macro="[0]!Delete_Exporter" altText="Reset_Exporter">
                <anchor moveWithCells="1">
                  <from>
                    <xdr:col>0</xdr:col>
                    <xdr:colOff>438150</xdr:colOff>
                    <xdr:row>53</xdr:row>
                    <xdr:rowOff>123825</xdr:rowOff>
                  </from>
                  <to>
                    <xdr:col>1</xdr:col>
                    <xdr:colOff>285750</xdr:colOff>
                    <xdr:row>56</xdr:row>
                    <xdr:rowOff>9525</xdr:rowOff>
                  </to>
                </anchor>
              </controlPr>
            </control>
          </mc:Choice>
        </mc:AlternateContent>
        <mc:AlternateContent xmlns:mc="http://schemas.openxmlformats.org/markup-compatibility/2006">
          <mc:Choice Requires="x14">
            <control shapeId="48136" r:id="rId11" name="Button 8">
              <controlPr defaultSize="0" print="0" autoFill="0" autoPict="0" macro="[0]!All_Data_filled_main">
                <anchor moveWithCells="1">
                  <from>
                    <xdr:col>0</xdr:col>
                    <xdr:colOff>257175</xdr:colOff>
                    <xdr:row>74</xdr:row>
                    <xdr:rowOff>133350</xdr:rowOff>
                  </from>
                  <to>
                    <xdr:col>0</xdr:col>
                    <xdr:colOff>1714500</xdr:colOff>
                    <xdr:row>77</xdr:row>
                    <xdr:rowOff>152400</xdr:rowOff>
                  </to>
                </anchor>
              </controlPr>
            </control>
          </mc:Choice>
        </mc:AlternateContent>
        <mc:AlternateContent xmlns:mc="http://schemas.openxmlformats.org/markup-compatibility/2006">
          <mc:Choice Requires="x14">
            <control shapeId="48137" r:id="rId12" name="Button 9">
              <controlPr defaultSize="0" print="0" autoFill="0" autoPict="0" macro="[0]!Python_data_writer">
                <anchor moveWithCells="1">
                  <from>
                    <xdr:col>0</xdr:col>
                    <xdr:colOff>990600</xdr:colOff>
                    <xdr:row>93</xdr:row>
                    <xdr:rowOff>76200</xdr:rowOff>
                  </from>
                  <to>
                    <xdr:col>1</xdr:col>
                    <xdr:colOff>790575</xdr:colOff>
                    <xdr:row>96</xdr:row>
                    <xdr:rowOff>19050</xdr:rowOff>
                  </to>
                </anchor>
              </controlPr>
            </control>
          </mc:Choice>
        </mc:AlternateContent>
        <mc:AlternateContent xmlns:mc="http://schemas.openxmlformats.org/markup-compatibility/2006">
          <mc:Choice Requires="x14">
            <control shapeId="48138" r:id="rId13" name="Button 10">
              <controlPr defaultSize="0" print="0" autoFill="0" autoPict="0" macro="[0]!Save_CSV">
                <anchor moveWithCells="1" sizeWithCells="1">
                  <from>
                    <xdr:col>0</xdr:col>
                    <xdr:colOff>1047750</xdr:colOff>
                    <xdr:row>97</xdr:row>
                    <xdr:rowOff>57150</xdr:rowOff>
                  </from>
                  <to>
                    <xdr:col>2</xdr:col>
                    <xdr:colOff>285750</xdr:colOff>
                    <xdr:row>99</xdr:row>
                    <xdr:rowOff>161925</xdr:rowOff>
                  </to>
                </anchor>
              </controlPr>
            </control>
          </mc:Choice>
        </mc:AlternateContent>
        <mc:AlternateContent xmlns:mc="http://schemas.openxmlformats.org/markup-compatibility/2006">
          <mc:Choice Requires="x14">
            <control shapeId="48139" r:id="rId14" name="Button 11">
              <controlPr defaultSize="0" print="0" autoFill="0" autoPict="0" macro="[0]!Delete_Exporter" altText="Reset_Exporter">
                <anchor moveWithCells="1">
                  <from>
                    <xdr:col>0</xdr:col>
                    <xdr:colOff>1009650</xdr:colOff>
                    <xdr:row>87</xdr:row>
                    <xdr:rowOff>152400</xdr:rowOff>
                  </from>
                  <to>
                    <xdr:col>1</xdr:col>
                    <xdr:colOff>857250</xdr:colOff>
                    <xdr:row>90</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7EB55AE-C1B6-44AE-9559-C9E6D814E0F6}">
          <x14:formula1>
            <xm:f>Variables!$F$1:$F$3</xm:f>
          </x14:formula1>
          <xm:sqref>C46</xm:sqref>
        </x14:dataValidation>
        <x14:dataValidation type="list" allowBlank="1" showInputMessage="1" showErrorMessage="1" xr:uid="{5D8538B3-9713-4E12-960A-0AE8F4357A0B}">
          <x14:formula1>
            <xm:f>Variables!$H$1:$H$9</xm:f>
          </x14:formula1>
          <xm:sqref>B8:C8</xm:sqref>
        </x14:dataValidation>
        <x14:dataValidation type="list" allowBlank="1" showInputMessage="1" showErrorMessage="1" xr:uid="{F7C0AC0A-492C-48BA-BB76-69073F68BFB1}">
          <x14:formula1>
            <xm:f>Variables!$Q$1:$Q$3</xm:f>
          </x14:formula1>
          <xm:sqref>B3:C3</xm:sqref>
        </x14:dataValidation>
        <x14:dataValidation type="list" allowBlank="1" showInputMessage="1" showErrorMessage="1" xr:uid="{C59DBC36-F423-4EBB-A070-503FC6B16249}">
          <x14:formula1>
            <xm:f>Variables!$A$1:$A$4</xm:f>
          </x14:formula1>
          <xm:sqref>B2:C2</xm:sqref>
        </x14:dataValidation>
        <x14:dataValidation type="list" allowBlank="1" showInputMessage="1" showErrorMessage="1" prompt="See Data tab for full description of each scale level" xr:uid="{85F8A161-890F-4CBE-AECA-122BD4BA1823}">
          <x14:formula1>
            <xm:f>DATA!$A$2:$A$6</xm:f>
          </x14:formula1>
          <xm:sqref>B11:C11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A170F-EB15-4051-8925-C2B8E896ACE8}">
  <sheetPr codeName="Sheet16">
    <tabColor theme="0" tint="-4.9989318521683403E-2"/>
    <pageSetUpPr fitToPage="1"/>
  </sheetPr>
  <dimension ref="A1:L163"/>
  <sheetViews>
    <sheetView tabSelected="1" zoomScale="90" zoomScaleNormal="90" workbookViewId="0">
      <selection activeCell="J7" sqref="J7"/>
    </sheetView>
  </sheetViews>
  <sheetFormatPr defaultColWidth="9.140625" defaultRowHeight="12.75" x14ac:dyDescent="0.2"/>
  <cols>
    <col min="1" max="1" width="9.85546875" style="7" customWidth="1"/>
    <col min="2" max="2" width="21.140625" style="1" hidden="1" customWidth="1"/>
    <col min="3" max="3" width="27.28515625" style="1" customWidth="1"/>
    <col min="4" max="4" width="45.7109375" style="1" customWidth="1"/>
    <col min="5" max="5" width="31.85546875" style="1" customWidth="1"/>
    <col min="6" max="7" width="59.85546875" style="1" customWidth="1"/>
    <col min="8" max="8" width="21.7109375" style="1" bestFit="1" customWidth="1"/>
    <col min="9" max="9" width="18.85546875" style="1" customWidth="1"/>
    <col min="10" max="10" width="16" style="1" customWidth="1"/>
    <col min="11" max="11" width="23.5703125" style="1" customWidth="1"/>
    <col min="12" max="12" width="24" style="1" customWidth="1"/>
    <col min="13" max="16384" width="9.140625" style="1"/>
  </cols>
  <sheetData>
    <row r="1" spans="1:12" ht="15" customHeight="1" x14ac:dyDescent="0.2">
      <c r="A1" s="62" t="s">
        <v>73</v>
      </c>
      <c r="B1" s="247" t="str">
        <f>'Template-Project Info Tab'!B1</f>
        <v>Level 1: FactoryTalk Optix Basic Configuration and Deployment (VIS150)</v>
      </c>
      <c r="C1" s="265"/>
      <c r="D1" s="265"/>
      <c r="E1" s="265"/>
      <c r="F1" s="248"/>
    </row>
    <row r="3" spans="1:12" ht="17.649999999999999" customHeight="1" x14ac:dyDescent="0.2">
      <c r="A3" s="259" t="s">
        <v>74</v>
      </c>
      <c r="B3" s="260"/>
      <c r="C3" s="260"/>
      <c r="D3" s="260"/>
      <c r="E3" s="260"/>
      <c r="F3" s="261"/>
      <c r="G3" s="2"/>
      <c r="H3" s="2"/>
      <c r="I3" s="2"/>
      <c r="J3" s="2"/>
    </row>
    <row r="4" spans="1:12" ht="168" customHeight="1" x14ac:dyDescent="0.25">
      <c r="A4" s="262" t="str">
        <f>'Template-Project Info Tab'!A33:C33</f>
        <v>This instructor-led training course is designed to provide basic knowledge of the terminology, functions, and features of FactoryTalk® Optix Studio™ software. Hands-on practice is provided through the onCourse pre-configured cloud-based environment. Instructor Led Training courses are in-person events. These allow you to work with an instructor and other students in a group environment.
After completing this course, you will be able to perform the following tasks:
• Navigate through the FactoryTalk Optix Studio environment and determine feature tokens
• Create and configure the FactoryTalk® Optix™ user interface
• Configure and monitor data, events, and alarms
• Create recipes and manage them at runtime
• Define security for projects, panels, and objects
There are no prerequisite requirements for this 4 day course.</v>
      </c>
      <c r="B4" s="263"/>
      <c r="C4" s="263"/>
      <c r="D4" s="263"/>
      <c r="E4" s="263"/>
      <c r="F4" s="264"/>
      <c r="G4" s="46"/>
      <c r="H4" s="46"/>
      <c r="I4" s="46"/>
      <c r="J4" s="46"/>
    </row>
    <row r="5" spans="1:12" ht="15" x14ac:dyDescent="0.25">
      <c r="A5" s="14"/>
    </row>
    <row r="6" spans="1:12" ht="16.5" customHeight="1" x14ac:dyDescent="0.2">
      <c r="A6" s="73" t="s">
        <v>75</v>
      </c>
      <c r="B6" s="30" t="s">
        <v>407</v>
      </c>
      <c r="C6" s="30" t="s">
        <v>183</v>
      </c>
      <c r="D6" s="11" t="s">
        <v>77</v>
      </c>
      <c r="E6" s="11" t="s">
        <v>79</v>
      </c>
      <c r="F6" s="11" t="s">
        <v>411</v>
      </c>
      <c r="G6" s="40" t="s">
        <v>408</v>
      </c>
      <c r="H6" s="40" t="s">
        <v>409</v>
      </c>
      <c r="I6" s="40" t="s">
        <v>212</v>
      </c>
      <c r="J6" s="12" t="s">
        <v>81</v>
      </c>
    </row>
    <row r="7" spans="1:12" ht="57.75" customHeight="1" x14ac:dyDescent="0.2">
      <c r="A7" s="98">
        <v>1</v>
      </c>
      <c r="B7" s="99" t="s">
        <v>412</v>
      </c>
      <c r="C7" s="99" t="s">
        <v>413</v>
      </c>
      <c r="D7" s="100" t="s">
        <v>414</v>
      </c>
      <c r="E7" s="100" t="s">
        <v>245</v>
      </c>
      <c r="F7" s="100" t="s">
        <v>415</v>
      </c>
      <c r="G7" s="100" t="s">
        <v>416</v>
      </c>
      <c r="H7" s="101" t="s">
        <v>325</v>
      </c>
      <c r="I7" s="101" t="s">
        <v>266</v>
      </c>
      <c r="J7" s="102">
        <v>45</v>
      </c>
    </row>
    <row r="8" spans="1:12" ht="51" customHeight="1" x14ac:dyDescent="0.2">
      <c r="A8" s="103">
        <f>1+A7</f>
        <v>2</v>
      </c>
      <c r="B8" s="104" t="s">
        <v>417</v>
      </c>
      <c r="C8" s="104" t="s">
        <v>413</v>
      </c>
      <c r="D8" s="100" t="s">
        <v>418</v>
      </c>
      <c r="E8" s="98" t="s">
        <v>245</v>
      </c>
      <c r="F8" s="98" t="s">
        <v>419</v>
      </c>
      <c r="G8" s="100" t="s">
        <v>420</v>
      </c>
      <c r="H8" s="101" t="s">
        <v>329</v>
      </c>
      <c r="I8" s="100" t="s">
        <v>297</v>
      </c>
      <c r="J8" s="105">
        <v>60</v>
      </c>
    </row>
    <row r="9" spans="1:12" ht="47.25" customHeight="1" x14ac:dyDescent="0.2">
      <c r="A9" s="103">
        <f t="shared" ref="A9:A26" si="0">1+A8</f>
        <v>3</v>
      </c>
      <c r="B9" s="104" t="s">
        <v>421</v>
      </c>
      <c r="C9" s="104" t="s">
        <v>422</v>
      </c>
      <c r="D9" s="98" t="s">
        <v>423</v>
      </c>
      <c r="E9" s="98" t="s">
        <v>245</v>
      </c>
      <c r="F9" s="98" t="s">
        <v>424</v>
      </c>
      <c r="G9" s="100" t="s">
        <v>425</v>
      </c>
      <c r="H9" s="101" t="s">
        <v>329</v>
      </c>
      <c r="I9" s="100" t="s">
        <v>297</v>
      </c>
      <c r="J9" s="105">
        <v>60</v>
      </c>
    </row>
    <row r="10" spans="1:12" ht="54" customHeight="1" x14ac:dyDescent="0.2">
      <c r="A10" s="103">
        <f t="shared" si="0"/>
        <v>4</v>
      </c>
      <c r="B10" s="106" t="s">
        <v>426</v>
      </c>
      <c r="C10" s="106" t="s">
        <v>427</v>
      </c>
      <c r="D10" s="98" t="s">
        <v>428</v>
      </c>
      <c r="E10" s="98" t="s">
        <v>245</v>
      </c>
      <c r="F10" s="98" t="s">
        <v>429</v>
      </c>
      <c r="G10" s="100" t="s">
        <v>430</v>
      </c>
      <c r="H10" s="101" t="s">
        <v>329</v>
      </c>
      <c r="I10" s="100" t="s">
        <v>297</v>
      </c>
      <c r="J10" s="102">
        <v>60</v>
      </c>
    </row>
    <row r="11" spans="1:12" ht="39.75" customHeight="1" x14ac:dyDescent="0.2">
      <c r="A11" s="103">
        <f>1+A10</f>
        <v>5</v>
      </c>
      <c r="B11" s="107" t="s">
        <v>431</v>
      </c>
      <c r="C11" s="107" t="s">
        <v>432</v>
      </c>
      <c r="D11" s="108" t="s">
        <v>433</v>
      </c>
      <c r="E11" s="108" t="s">
        <v>245</v>
      </c>
      <c r="F11" s="108" t="s">
        <v>434</v>
      </c>
      <c r="G11" s="108" t="s">
        <v>435</v>
      </c>
      <c r="H11" s="109" t="s">
        <v>329</v>
      </c>
      <c r="I11" s="108" t="s">
        <v>318</v>
      </c>
      <c r="J11" s="110">
        <v>30</v>
      </c>
    </row>
    <row r="12" spans="1:12" ht="34.5" customHeight="1" x14ac:dyDescent="0.2">
      <c r="A12" s="103">
        <f t="shared" si="0"/>
        <v>6</v>
      </c>
      <c r="B12" s="104" t="s">
        <v>436</v>
      </c>
      <c r="C12" s="104" t="s">
        <v>432</v>
      </c>
      <c r="D12" s="100" t="s">
        <v>437</v>
      </c>
      <c r="E12" s="100" t="s">
        <v>245</v>
      </c>
      <c r="F12" s="100" t="s">
        <v>438</v>
      </c>
      <c r="G12" s="100" t="s">
        <v>439</v>
      </c>
      <c r="H12" s="101" t="s">
        <v>325</v>
      </c>
      <c r="I12" s="100" t="s">
        <v>280</v>
      </c>
      <c r="J12" s="102">
        <v>20</v>
      </c>
    </row>
    <row r="13" spans="1:12" ht="32.25" customHeight="1" x14ac:dyDescent="0.2">
      <c r="A13" s="103">
        <f t="shared" si="0"/>
        <v>7</v>
      </c>
      <c r="B13" s="104" t="s">
        <v>440</v>
      </c>
      <c r="C13" s="104" t="s">
        <v>432</v>
      </c>
      <c r="D13" s="100" t="s">
        <v>441</v>
      </c>
      <c r="E13" s="100" t="s">
        <v>245</v>
      </c>
      <c r="F13" s="100" t="s">
        <v>442</v>
      </c>
      <c r="G13" s="100" t="s">
        <v>443</v>
      </c>
      <c r="H13" s="101" t="s">
        <v>329</v>
      </c>
      <c r="I13" s="100" t="s">
        <v>297</v>
      </c>
      <c r="J13" s="102">
        <v>60</v>
      </c>
      <c r="K13" s="74"/>
      <c r="L13" s="74"/>
    </row>
    <row r="14" spans="1:12" ht="33.75" customHeight="1" x14ac:dyDescent="0.2">
      <c r="A14" s="103">
        <f t="shared" si="0"/>
        <v>8</v>
      </c>
      <c r="B14" s="104" t="s">
        <v>444</v>
      </c>
      <c r="C14" s="104" t="s">
        <v>422</v>
      </c>
      <c r="D14" s="100" t="s">
        <v>445</v>
      </c>
      <c r="E14" s="100" t="s">
        <v>245</v>
      </c>
      <c r="F14" s="100" t="s">
        <v>446</v>
      </c>
      <c r="G14" s="100" t="s">
        <v>447</v>
      </c>
      <c r="H14" s="108" t="s">
        <v>329</v>
      </c>
      <c r="I14" s="100" t="s">
        <v>297</v>
      </c>
      <c r="J14" s="102">
        <v>45</v>
      </c>
      <c r="K14" s="74"/>
      <c r="L14" s="74"/>
    </row>
    <row r="15" spans="1:12" ht="36.75" customHeight="1" x14ac:dyDescent="0.2">
      <c r="A15" s="103">
        <f t="shared" si="0"/>
        <v>9</v>
      </c>
      <c r="B15" s="104" t="s">
        <v>448</v>
      </c>
      <c r="C15" s="104" t="s">
        <v>427</v>
      </c>
      <c r="D15" s="100" t="s">
        <v>449</v>
      </c>
      <c r="E15" s="100" t="s">
        <v>245</v>
      </c>
      <c r="F15" s="100" t="s">
        <v>450</v>
      </c>
      <c r="G15" s="100" t="s">
        <v>451</v>
      </c>
      <c r="H15" s="108" t="s">
        <v>347</v>
      </c>
      <c r="I15" s="100" t="s">
        <v>318</v>
      </c>
      <c r="J15" s="102">
        <v>70</v>
      </c>
      <c r="K15" s="74"/>
      <c r="L15" s="74"/>
    </row>
    <row r="16" spans="1:12" ht="48" customHeight="1" x14ac:dyDescent="0.2">
      <c r="A16" s="103">
        <f t="shared" si="0"/>
        <v>10</v>
      </c>
      <c r="B16" s="104" t="s">
        <v>452</v>
      </c>
      <c r="C16" s="104" t="s">
        <v>432</v>
      </c>
      <c r="D16" s="100" t="s">
        <v>453</v>
      </c>
      <c r="E16" s="100" t="s">
        <v>245</v>
      </c>
      <c r="F16" s="100" t="s">
        <v>454</v>
      </c>
      <c r="G16" s="100" t="s">
        <v>455</v>
      </c>
      <c r="H16" s="101" t="s">
        <v>329</v>
      </c>
      <c r="I16" s="100" t="s">
        <v>297</v>
      </c>
      <c r="J16" s="102">
        <v>45</v>
      </c>
    </row>
    <row r="17" spans="1:12" ht="53.25" customHeight="1" x14ac:dyDescent="0.2">
      <c r="A17" s="103">
        <f t="shared" si="0"/>
        <v>11</v>
      </c>
      <c r="B17" s="104" t="s">
        <v>456</v>
      </c>
      <c r="C17" s="104" t="s">
        <v>413</v>
      </c>
      <c r="D17" s="100" t="s">
        <v>457</v>
      </c>
      <c r="E17" s="100" t="s">
        <v>245</v>
      </c>
      <c r="F17" s="100" t="s">
        <v>458</v>
      </c>
      <c r="G17" s="100" t="s">
        <v>459</v>
      </c>
      <c r="H17" s="108" t="s">
        <v>329</v>
      </c>
      <c r="I17" s="100" t="s">
        <v>297</v>
      </c>
      <c r="J17" s="102">
        <v>30</v>
      </c>
      <c r="L17" s="2"/>
    </row>
    <row r="18" spans="1:12" ht="50.25" customHeight="1" x14ac:dyDescent="0.2">
      <c r="A18" s="103">
        <f t="shared" si="0"/>
        <v>12</v>
      </c>
      <c r="B18" s="104" t="s">
        <v>460</v>
      </c>
      <c r="C18" s="104" t="s">
        <v>432</v>
      </c>
      <c r="D18" s="100" t="s">
        <v>461</v>
      </c>
      <c r="E18" s="100" t="s">
        <v>245</v>
      </c>
      <c r="F18" s="100" t="s">
        <v>462</v>
      </c>
      <c r="G18" s="111" t="s">
        <v>463</v>
      </c>
      <c r="H18" s="108" t="s">
        <v>329</v>
      </c>
      <c r="I18" s="100" t="s">
        <v>297</v>
      </c>
      <c r="J18" s="102">
        <v>50</v>
      </c>
    </row>
    <row r="19" spans="1:12" ht="38.25" x14ac:dyDescent="0.2">
      <c r="A19" s="103">
        <f t="shared" si="0"/>
        <v>13</v>
      </c>
      <c r="B19" s="104" t="s">
        <v>464</v>
      </c>
      <c r="C19" s="104" t="s">
        <v>432</v>
      </c>
      <c r="D19" s="100" t="s">
        <v>465</v>
      </c>
      <c r="E19" s="100" t="s">
        <v>245</v>
      </c>
      <c r="F19" s="100" t="s">
        <v>466</v>
      </c>
      <c r="G19" s="111" t="s">
        <v>467</v>
      </c>
      <c r="H19" s="108" t="s">
        <v>325</v>
      </c>
      <c r="I19" s="100" t="s">
        <v>297</v>
      </c>
      <c r="J19" s="102">
        <v>30</v>
      </c>
    </row>
    <row r="20" spans="1:12" ht="49.5" customHeight="1" x14ac:dyDescent="0.2">
      <c r="A20" s="103">
        <f t="shared" si="0"/>
        <v>14</v>
      </c>
      <c r="B20" s="104" t="s">
        <v>468</v>
      </c>
      <c r="C20" s="104" t="s">
        <v>432</v>
      </c>
      <c r="D20" s="100" t="s">
        <v>469</v>
      </c>
      <c r="E20" s="100" t="s">
        <v>245</v>
      </c>
      <c r="F20" s="100" t="s">
        <v>470</v>
      </c>
      <c r="G20" s="111" t="s">
        <v>471</v>
      </c>
      <c r="H20" s="108" t="s">
        <v>325</v>
      </c>
      <c r="I20" s="100" t="s">
        <v>297</v>
      </c>
      <c r="J20" s="102">
        <v>50</v>
      </c>
    </row>
    <row r="21" spans="1:12" ht="33" customHeight="1" x14ac:dyDescent="0.2">
      <c r="A21" s="103">
        <f t="shared" si="0"/>
        <v>15</v>
      </c>
      <c r="B21" s="104" t="s">
        <v>472</v>
      </c>
      <c r="C21" s="104" t="s">
        <v>432</v>
      </c>
      <c r="D21" s="100" t="s">
        <v>473</v>
      </c>
      <c r="E21" s="100" t="s">
        <v>245</v>
      </c>
      <c r="F21" s="100" t="s">
        <v>474</v>
      </c>
      <c r="G21" s="112" t="s">
        <v>475</v>
      </c>
      <c r="H21" s="113" t="s">
        <v>329</v>
      </c>
      <c r="I21" s="100" t="s">
        <v>297</v>
      </c>
      <c r="J21" s="102">
        <v>30</v>
      </c>
    </row>
    <row r="22" spans="1:12" ht="48" customHeight="1" x14ac:dyDescent="0.2">
      <c r="A22" s="103">
        <f t="shared" si="0"/>
        <v>16</v>
      </c>
      <c r="B22" s="104" t="s">
        <v>476</v>
      </c>
      <c r="C22" s="104" t="s">
        <v>477</v>
      </c>
      <c r="D22" s="100" t="s">
        <v>478</v>
      </c>
      <c r="E22" s="100" t="s">
        <v>245</v>
      </c>
      <c r="F22" s="100" t="s">
        <v>479</v>
      </c>
      <c r="G22" s="111" t="s">
        <v>480</v>
      </c>
      <c r="H22" s="108" t="s">
        <v>329</v>
      </c>
      <c r="I22" s="100" t="s">
        <v>297</v>
      </c>
      <c r="J22" s="102">
        <v>60</v>
      </c>
    </row>
    <row r="23" spans="1:12" ht="48" customHeight="1" x14ac:dyDescent="0.2">
      <c r="A23" s="103">
        <f t="shared" si="0"/>
        <v>17</v>
      </c>
      <c r="B23" s="104" t="s">
        <v>481</v>
      </c>
      <c r="C23" s="104" t="s">
        <v>482</v>
      </c>
      <c r="D23" s="100" t="s">
        <v>483</v>
      </c>
      <c r="E23" s="100" t="s">
        <v>245</v>
      </c>
      <c r="F23" s="100" t="s">
        <v>484</v>
      </c>
      <c r="G23" s="111" t="s">
        <v>485</v>
      </c>
      <c r="H23" s="114" t="s">
        <v>329</v>
      </c>
      <c r="I23" s="100" t="s">
        <v>297</v>
      </c>
      <c r="J23" s="102">
        <v>60</v>
      </c>
    </row>
    <row r="24" spans="1:12" x14ac:dyDescent="0.2">
      <c r="A24" s="103">
        <f t="shared" si="0"/>
        <v>18</v>
      </c>
      <c r="B24" s="104"/>
      <c r="C24" s="104"/>
      <c r="D24" s="100"/>
      <c r="E24" s="100"/>
      <c r="F24" s="100"/>
      <c r="G24" s="115"/>
      <c r="H24" s="115"/>
      <c r="I24" s="100"/>
      <c r="J24" s="102"/>
    </row>
    <row r="25" spans="1:12" x14ac:dyDescent="0.2">
      <c r="A25" s="103">
        <f t="shared" si="0"/>
        <v>19</v>
      </c>
      <c r="B25" s="104"/>
      <c r="C25" s="104"/>
      <c r="D25" s="100"/>
      <c r="E25" s="100"/>
      <c r="F25" s="100"/>
      <c r="G25" s="115"/>
      <c r="H25" s="115"/>
      <c r="I25" s="100"/>
      <c r="J25" s="102"/>
    </row>
    <row r="26" spans="1:12" x14ac:dyDescent="0.2">
      <c r="A26" s="103">
        <f t="shared" si="0"/>
        <v>20</v>
      </c>
      <c r="B26" s="116"/>
      <c r="C26" s="116"/>
      <c r="D26" s="111"/>
      <c r="E26" s="111"/>
      <c r="F26" s="111"/>
      <c r="G26" s="115"/>
      <c r="H26" s="115"/>
      <c r="I26" s="111"/>
      <c r="J26" s="102"/>
    </row>
    <row r="27" spans="1:12" x14ac:dyDescent="0.2">
      <c r="A27" s="1"/>
    </row>
    <row r="28" spans="1:12" x14ac:dyDescent="0.2">
      <c r="A28" s="1"/>
    </row>
    <row r="29" spans="1:12" x14ac:dyDescent="0.2">
      <c r="A29" s="1"/>
    </row>
    <row r="30" spans="1:12" x14ac:dyDescent="0.2">
      <c r="A30" s="1"/>
    </row>
    <row r="31" spans="1:12" x14ac:dyDescent="0.2">
      <c r="A31" s="1"/>
    </row>
    <row r="32" spans="1:12" x14ac:dyDescent="0.2">
      <c r="A32" s="1"/>
    </row>
    <row r="33" s="1" customFormat="1" x14ac:dyDescent="0.2"/>
    <row r="34" s="1" customFormat="1" x14ac:dyDescent="0.2"/>
    <row r="35" s="1" customFormat="1" x14ac:dyDescent="0.2"/>
    <row r="36" s="1" customFormat="1" x14ac:dyDescent="0.2"/>
    <row r="37" s="1" customFormat="1" x14ac:dyDescent="0.2"/>
    <row r="38" s="1" customFormat="1" x14ac:dyDescent="0.2"/>
    <row r="39" s="1" customFormat="1" x14ac:dyDescent="0.2"/>
    <row r="40" s="1" customFormat="1" x14ac:dyDescent="0.2"/>
    <row r="41" s="1" customFormat="1" x14ac:dyDescent="0.2"/>
    <row r="42" s="1" customFormat="1" x14ac:dyDescent="0.2"/>
    <row r="43" s="1" customFormat="1" x14ac:dyDescent="0.2"/>
    <row r="44" s="1" customFormat="1" x14ac:dyDescent="0.2"/>
    <row r="45" s="1" customFormat="1" x14ac:dyDescent="0.2"/>
    <row r="46" s="1" customFormat="1" x14ac:dyDescent="0.2"/>
    <row r="47" s="1" customFormat="1" x14ac:dyDescent="0.2"/>
    <row r="48" s="1" customFormat="1" x14ac:dyDescent="0.2"/>
    <row r="49" s="1" customFormat="1" x14ac:dyDescent="0.2"/>
    <row r="50" s="1" customFormat="1" x14ac:dyDescent="0.2"/>
    <row r="51" s="1" customFormat="1" x14ac:dyDescent="0.2"/>
    <row r="52" s="1" customFormat="1" x14ac:dyDescent="0.2"/>
    <row r="53" s="1" customFormat="1" x14ac:dyDescent="0.2"/>
    <row r="54" s="1" customFormat="1" x14ac:dyDescent="0.2"/>
    <row r="55" s="1" customFormat="1" x14ac:dyDescent="0.2"/>
    <row r="56" s="1" customFormat="1" x14ac:dyDescent="0.2"/>
    <row r="57" s="1" customFormat="1" x14ac:dyDescent="0.2"/>
    <row r="58" s="1" customFormat="1" x14ac:dyDescent="0.2"/>
    <row r="59" s="1" customFormat="1" x14ac:dyDescent="0.2"/>
    <row r="60" s="1" customFormat="1" x14ac:dyDescent="0.2"/>
    <row r="61" s="1" customFormat="1" x14ac:dyDescent="0.2"/>
    <row r="62" s="1" customFormat="1" x14ac:dyDescent="0.2"/>
    <row r="63" s="1" customFormat="1" x14ac:dyDescent="0.2"/>
    <row r="64" s="1" customFormat="1" x14ac:dyDescent="0.2"/>
    <row r="65" s="1" customFormat="1" x14ac:dyDescent="0.2"/>
    <row r="66" s="1" customFormat="1" x14ac:dyDescent="0.2"/>
    <row r="67" s="1" customFormat="1" x14ac:dyDescent="0.2"/>
    <row r="68" s="1" customFormat="1" x14ac:dyDescent="0.2"/>
    <row r="69" s="1" customFormat="1" x14ac:dyDescent="0.2"/>
    <row r="70" s="1" customFormat="1" x14ac:dyDescent="0.2"/>
    <row r="71" s="1" customFormat="1" x14ac:dyDescent="0.2"/>
    <row r="72" s="1" customFormat="1" x14ac:dyDescent="0.2"/>
    <row r="73" s="1" customFormat="1" x14ac:dyDescent="0.2"/>
    <row r="74" s="1" customFormat="1" x14ac:dyDescent="0.2"/>
    <row r="75" s="1" customFormat="1" x14ac:dyDescent="0.2"/>
    <row r="76" s="1" customFormat="1" x14ac:dyDescent="0.2"/>
    <row r="77" s="1" customFormat="1" x14ac:dyDescent="0.2"/>
    <row r="78" s="1" customFormat="1" x14ac:dyDescent="0.2"/>
    <row r="79" s="1" customFormat="1" x14ac:dyDescent="0.2"/>
    <row r="80" s="1" customFormat="1" x14ac:dyDescent="0.2"/>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pans="1:1" x14ac:dyDescent="0.2">
      <c r="A113" s="1"/>
    </row>
    <row r="114" spans="1:1" x14ac:dyDescent="0.2">
      <c r="A114" s="1"/>
    </row>
    <row r="115" spans="1:1" x14ac:dyDescent="0.2">
      <c r="A115" s="1"/>
    </row>
    <row r="116" spans="1:1" x14ac:dyDescent="0.2">
      <c r="A116" s="1"/>
    </row>
    <row r="117" spans="1:1" x14ac:dyDescent="0.2">
      <c r="A117" s="1"/>
    </row>
    <row r="118" spans="1:1" x14ac:dyDescent="0.2">
      <c r="A118" s="1"/>
    </row>
    <row r="119" spans="1:1" x14ac:dyDescent="0.2">
      <c r="A119" s="1"/>
    </row>
    <row r="120" spans="1:1" x14ac:dyDescent="0.2">
      <c r="A120" s="1"/>
    </row>
    <row r="121" spans="1:1" x14ac:dyDescent="0.2">
      <c r="A121" s="1"/>
    </row>
    <row r="122" spans="1:1" x14ac:dyDescent="0.2">
      <c r="A122" s="1"/>
    </row>
    <row r="123" spans="1:1" x14ac:dyDescent="0.2">
      <c r="A123" s="1"/>
    </row>
    <row r="124" spans="1:1" x14ac:dyDescent="0.2">
      <c r="A124" s="1"/>
    </row>
    <row r="125" spans="1:1" x14ac:dyDescent="0.2">
      <c r="A125" s="1"/>
    </row>
    <row r="126" spans="1:1" x14ac:dyDescent="0.2">
      <c r="A126" s="1"/>
    </row>
    <row r="127" spans="1:1" x14ac:dyDescent="0.2">
      <c r="A127" s="1"/>
    </row>
    <row r="128" spans="1:1" x14ac:dyDescent="0.2">
      <c r="A128" s="1"/>
    </row>
    <row r="129" spans="1:1" x14ac:dyDescent="0.2">
      <c r="A129" s="1"/>
    </row>
    <row r="130" spans="1:1" x14ac:dyDescent="0.2">
      <c r="A130" s="1"/>
    </row>
    <row r="131" spans="1:1" x14ac:dyDescent="0.2">
      <c r="A131" s="1"/>
    </row>
    <row r="132" spans="1:1" x14ac:dyDescent="0.2">
      <c r="A132" s="1"/>
    </row>
    <row r="133" spans="1:1" x14ac:dyDescent="0.2">
      <c r="A133" s="1"/>
    </row>
    <row r="134" spans="1:1" x14ac:dyDescent="0.2">
      <c r="A134" s="1"/>
    </row>
    <row r="135" spans="1:1" x14ac:dyDescent="0.2">
      <c r="A135" s="1"/>
    </row>
    <row r="136" spans="1:1" x14ac:dyDescent="0.2">
      <c r="A136" s="1"/>
    </row>
    <row r="137" spans="1:1" x14ac:dyDescent="0.2">
      <c r="A137" s="1"/>
    </row>
    <row r="138" spans="1:1" x14ac:dyDescent="0.2">
      <c r="A138" s="1"/>
    </row>
    <row r="139" spans="1:1" x14ac:dyDescent="0.2">
      <c r="A139" s="1"/>
    </row>
    <row r="140" spans="1:1" x14ac:dyDescent="0.2">
      <c r="A140" s="1"/>
    </row>
    <row r="141" spans="1:1" x14ac:dyDescent="0.2">
      <c r="A141" s="1"/>
    </row>
    <row r="142" spans="1:1" x14ac:dyDescent="0.2">
      <c r="A142" s="1"/>
    </row>
    <row r="143" spans="1:1" x14ac:dyDescent="0.2">
      <c r="A143" s="1"/>
    </row>
    <row r="144" spans="1:1" x14ac:dyDescent="0.2">
      <c r="A144" s="1"/>
    </row>
    <row r="145" spans="1:1" x14ac:dyDescent="0.2">
      <c r="A145" s="1"/>
    </row>
    <row r="146" spans="1:1" x14ac:dyDescent="0.2">
      <c r="A146" s="1"/>
    </row>
    <row r="147" spans="1:1" x14ac:dyDescent="0.2">
      <c r="A147" s="1"/>
    </row>
    <row r="148" spans="1:1" x14ac:dyDescent="0.2">
      <c r="A148" s="1"/>
    </row>
    <row r="149" spans="1:1" x14ac:dyDescent="0.2">
      <c r="A149" s="1"/>
    </row>
    <row r="150" spans="1:1" x14ac:dyDescent="0.2">
      <c r="A150" s="1"/>
    </row>
    <row r="151" spans="1:1" x14ac:dyDescent="0.2">
      <c r="A151" s="1"/>
    </row>
    <row r="152" spans="1:1" x14ac:dyDescent="0.2">
      <c r="A152" s="1"/>
    </row>
    <row r="153" spans="1:1" x14ac:dyDescent="0.2">
      <c r="A153" s="1"/>
    </row>
    <row r="154" spans="1:1" x14ac:dyDescent="0.2">
      <c r="A154" s="1"/>
    </row>
    <row r="155" spans="1:1" x14ac:dyDescent="0.2">
      <c r="A155" s="1"/>
    </row>
    <row r="156" spans="1:1" x14ac:dyDescent="0.2">
      <c r="A156" s="1"/>
    </row>
    <row r="157" spans="1:1" x14ac:dyDescent="0.2">
      <c r="A157" s="1"/>
    </row>
    <row r="158" spans="1:1" x14ac:dyDescent="0.2">
      <c r="A158" s="1"/>
    </row>
    <row r="159" spans="1:1" x14ac:dyDescent="0.2">
      <c r="A159" s="1"/>
    </row>
    <row r="160" spans="1:1" x14ac:dyDescent="0.2">
      <c r="A160" s="1"/>
    </row>
    <row r="161" spans="1:1" x14ac:dyDescent="0.2">
      <c r="A161" s="1"/>
    </row>
    <row r="162" spans="1:1" x14ac:dyDescent="0.2">
      <c r="A162" s="1"/>
    </row>
    <row r="163" spans="1:1" x14ac:dyDescent="0.2">
      <c r="A163" s="1"/>
    </row>
  </sheetData>
  <sheetProtection formatCells="0" formatColumns="0" formatRows="0" insertRows="0" deleteRows="0"/>
  <mergeCells count="3">
    <mergeCell ref="A3:F3"/>
    <mergeCell ref="A4:F4"/>
    <mergeCell ref="B1:F1"/>
  </mergeCells>
  <pageMargins left="0.25" right="0.25" top="0.75" bottom="0.75" header="0.3" footer="0.3"/>
  <pageSetup scale="97" fitToHeight="0" orientation="landscape" horizontalDpi="1200" verticalDpi="1200" r:id="rId1"/>
  <headerFooter>
    <oddHeader>&amp;L&amp;"-,Bold"&amp;12&amp;A&amp;C&amp;"-,Bold"&amp;12&amp;F&amp;R&amp;"-,Bold"&amp;12&amp;D</oddHeader>
    <oddFooter>&amp;C&amp;"-,Bold"&amp;12Page &amp;P of &amp;N</oddFooter>
  </headerFooter>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22BAFCA2-CEAB-48A5-95A8-70C85AE2330F}">
          <x14:formula1>
            <xm:f>'Template-Project Info Tab'!$A$19:$A$29</xm:f>
          </x14:formula1>
          <xm:sqref>C7:C64</xm:sqref>
        </x14:dataValidation>
        <x14:dataValidation type="list" allowBlank="1" showInputMessage="1" showErrorMessage="1" xr:uid="{BECF4F1B-E9DE-4E95-B71C-292B518B2808}">
          <x14:formula1>
            <xm:f>DATA!$A$36:$A$45</xm:f>
          </x14:formula1>
          <xm:sqref>H7:H23</xm:sqref>
        </x14:dataValidation>
        <x14:dataValidation type="list" allowBlank="1" showInputMessage="1" showErrorMessage="1" xr:uid="{7CA79AD0-C735-4D07-B667-6F0B89A9BC01}">
          <x14:formula1>
            <xm:f>DATA!$A$11:$A$12</xm:f>
          </x14:formula1>
          <xm:sqref>E7:E69</xm:sqref>
        </x14:dataValidation>
        <x14:dataValidation type="list" allowBlank="1" showInputMessage="1" showErrorMessage="1" xr:uid="{AFA433EA-3DC6-4AF5-A331-482DE2B3D2ED}">
          <x14:formula1>
            <xm:f>DATA!$A$17:$A$31</xm:f>
          </x14:formula1>
          <xm:sqref>I7:I26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E9E32-4699-416F-816B-DD48A0C71FD1}">
  <sheetPr codeName="Sheet8">
    <tabColor theme="0"/>
  </sheetPr>
  <dimension ref="A1:L45"/>
  <sheetViews>
    <sheetView topLeftCell="A32" zoomScale="85" zoomScaleNormal="85" workbookViewId="0">
      <selection activeCell="D36" sqref="D36"/>
    </sheetView>
  </sheetViews>
  <sheetFormatPr defaultRowHeight="15" x14ac:dyDescent="0.25"/>
  <cols>
    <col min="1" max="1" width="25.140625" style="24" customWidth="1"/>
    <col min="2" max="2" width="35.85546875" style="24" customWidth="1"/>
    <col min="3" max="3" width="85.85546875" style="24" customWidth="1"/>
    <col min="4" max="4" width="71.28515625" customWidth="1"/>
    <col min="5" max="5" width="0.140625" customWidth="1"/>
    <col min="6" max="6" width="91.7109375" customWidth="1"/>
  </cols>
  <sheetData>
    <row r="1" spans="1:12" x14ac:dyDescent="0.25">
      <c r="A1" s="37" t="s">
        <v>224</v>
      </c>
      <c r="B1" s="24" t="s">
        <v>225</v>
      </c>
      <c r="C1" s="32" t="s">
        <v>226</v>
      </c>
    </row>
    <row r="2" spans="1:12" x14ac:dyDescent="0.25">
      <c r="A2" s="39" t="s">
        <v>227</v>
      </c>
      <c r="B2" s="24" t="s">
        <v>228</v>
      </c>
      <c r="C2" s="33" t="s">
        <v>229</v>
      </c>
    </row>
    <row r="3" spans="1:12" ht="30" customHeight="1" x14ac:dyDescent="0.25">
      <c r="A3" s="39" t="s">
        <v>230</v>
      </c>
      <c r="B3" s="38" t="s">
        <v>231</v>
      </c>
      <c r="C3" s="35" t="s">
        <v>232</v>
      </c>
    </row>
    <row r="4" spans="1:12" ht="28.5" customHeight="1" x14ac:dyDescent="0.25">
      <c r="A4" s="39" t="s">
        <v>233</v>
      </c>
      <c r="B4" s="38" t="s">
        <v>234</v>
      </c>
      <c r="C4" s="36" t="s">
        <v>235</v>
      </c>
    </row>
    <row r="5" spans="1:12" ht="27.75" customHeight="1" x14ac:dyDescent="0.25">
      <c r="A5" s="39" t="s">
        <v>236</v>
      </c>
      <c r="B5" s="38" t="s">
        <v>237</v>
      </c>
      <c r="C5" s="36" t="s">
        <v>238</v>
      </c>
    </row>
    <row r="6" spans="1:12" ht="30" customHeight="1" x14ac:dyDescent="0.25">
      <c r="A6" s="119" t="s">
        <v>239</v>
      </c>
      <c r="B6" s="38" t="s">
        <v>240</v>
      </c>
      <c r="C6" s="36" t="s">
        <v>241</v>
      </c>
    </row>
    <row r="9" spans="1:12" s="34" customFormat="1" ht="28.5" customHeight="1" x14ac:dyDescent="0.25">
      <c r="A9" s="266" t="s">
        <v>242</v>
      </c>
      <c r="B9" s="266"/>
      <c r="C9" s="266"/>
      <c r="D9" s="266"/>
      <c r="E9" s="266"/>
      <c r="F9" s="266"/>
    </row>
    <row r="10" spans="1:12" ht="26.25" customHeight="1" x14ac:dyDescent="0.25">
      <c r="A10" s="41" t="s">
        <v>243</v>
      </c>
      <c r="B10" s="41" t="s">
        <v>244</v>
      </c>
      <c r="C10" s="41" t="s">
        <v>161</v>
      </c>
      <c r="D10" s="41" t="s">
        <v>124</v>
      </c>
      <c r="E10" s="41" t="s">
        <v>163</v>
      </c>
      <c r="F10" s="41" t="s">
        <v>163</v>
      </c>
    </row>
    <row r="11" spans="1:12" x14ac:dyDescent="0.25">
      <c r="A11" s="43" t="s">
        <v>245</v>
      </c>
      <c r="B11" s="43" t="s">
        <v>246</v>
      </c>
      <c r="C11" s="43" t="s">
        <v>247</v>
      </c>
      <c r="D11" s="43" t="s">
        <v>248</v>
      </c>
      <c r="E11" s="78"/>
      <c r="F11" s="86" t="s">
        <v>249</v>
      </c>
      <c r="G11" s="76"/>
      <c r="H11" s="76"/>
      <c r="I11" s="76"/>
      <c r="J11" s="76"/>
      <c r="K11" s="76"/>
      <c r="L11" s="76"/>
    </row>
    <row r="12" spans="1:12" ht="30" x14ac:dyDescent="0.25">
      <c r="A12" s="117" t="s">
        <v>250</v>
      </c>
      <c r="B12" s="117" t="s">
        <v>251</v>
      </c>
      <c r="C12" s="117" t="s">
        <v>252</v>
      </c>
      <c r="D12" s="117" t="s">
        <v>253</v>
      </c>
      <c r="E12" s="84"/>
      <c r="F12" s="118" t="s">
        <v>254</v>
      </c>
      <c r="G12" s="87"/>
      <c r="H12" s="87"/>
      <c r="I12" s="87"/>
      <c r="J12" s="87"/>
      <c r="K12" s="87"/>
      <c r="L12" s="87"/>
    </row>
    <row r="15" spans="1:12" s="34" customFormat="1" ht="28.5" customHeight="1" x14ac:dyDescent="0.25">
      <c r="A15" s="266" t="s">
        <v>255</v>
      </c>
      <c r="B15" s="266"/>
      <c r="C15" s="266"/>
      <c r="D15" s="266"/>
      <c r="E15" s="266"/>
      <c r="F15" s="266"/>
    </row>
    <row r="16" spans="1:12" s="44" customFormat="1" ht="28.5" customHeight="1" x14ac:dyDescent="0.25">
      <c r="A16" s="45" t="s">
        <v>212</v>
      </c>
      <c r="B16" s="45" t="s">
        <v>244</v>
      </c>
      <c r="C16" s="45" t="s">
        <v>161</v>
      </c>
      <c r="D16" s="45" t="s">
        <v>124</v>
      </c>
      <c r="E16" s="45" t="s">
        <v>163</v>
      </c>
      <c r="F16" s="45"/>
    </row>
    <row r="17" spans="1:6" x14ac:dyDescent="0.25">
      <c r="A17" s="82" t="s">
        <v>256</v>
      </c>
      <c r="B17" s="78" t="s">
        <v>257</v>
      </c>
      <c r="C17" s="78" t="s">
        <v>258</v>
      </c>
      <c r="D17" s="78" t="s">
        <v>259</v>
      </c>
      <c r="E17" s="78" t="s">
        <v>260</v>
      </c>
      <c r="F17" s="79"/>
    </row>
    <row r="18" spans="1:6" ht="30" x14ac:dyDescent="0.25">
      <c r="A18" s="81" t="s">
        <v>261</v>
      </c>
      <c r="B18" t="s">
        <v>246</v>
      </c>
      <c r="C18" t="s">
        <v>262</v>
      </c>
      <c r="D18" t="s">
        <v>263</v>
      </c>
      <c r="E18" t="s">
        <v>264</v>
      </c>
      <c r="F18" s="42" t="s">
        <v>265</v>
      </c>
    </row>
    <row r="19" spans="1:6" x14ac:dyDescent="0.25">
      <c r="A19" s="81" t="s">
        <v>266</v>
      </c>
      <c r="B19" t="s">
        <v>267</v>
      </c>
      <c r="C19" t="s">
        <v>268</v>
      </c>
      <c r="D19" t="s">
        <v>269</v>
      </c>
      <c r="E19" t="s">
        <v>270</v>
      </c>
      <c r="F19" s="80"/>
    </row>
    <row r="20" spans="1:6" x14ac:dyDescent="0.25">
      <c r="A20" s="81" t="s">
        <v>271</v>
      </c>
      <c r="B20" t="s">
        <v>267</v>
      </c>
      <c r="C20" t="s">
        <v>272</v>
      </c>
      <c r="D20" t="s">
        <v>273</v>
      </c>
      <c r="E20" t="s">
        <v>274</v>
      </c>
      <c r="F20" s="80"/>
    </row>
    <row r="21" spans="1:6" x14ac:dyDescent="0.25">
      <c r="A21" s="81" t="s">
        <v>275</v>
      </c>
      <c r="B21" t="s">
        <v>246</v>
      </c>
      <c r="C21" t="s">
        <v>276</v>
      </c>
      <c r="D21" t="s">
        <v>277</v>
      </c>
      <c r="E21" t="s">
        <v>278</v>
      </c>
      <c r="F21" s="42" t="s">
        <v>279</v>
      </c>
    </row>
    <row r="22" spans="1:6" x14ac:dyDescent="0.25">
      <c r="A22" s="81" t="s">
        <v>280</v>
      </c>
      <c r="B22" t="s">
        <v>246</v>
      </c>
      <c r="C22" t="s">
        <v>281</v>
      </c>
      <c r="D22" t="s">
        <v>282</v>
      </c>
      <c r="E22" t="s">
        <v>283</v>
      </c>
      <c r="F22" s="80"/>
    </row>
    <row r="23" spans="1:6" x14ac:dyDescent="0.25">
      <c r="A23" s="81" t="s">
        <v>284</v>
      </c>
      <c r="B23" t="s">
        <v>246</v>
      </c>
      <c r="C23" t="s">
        <v>285</v>
      </c>
      <c r="D23" t="s">
        <v>286</v>
      </c>
      <c r="E23" t="s">
        <v>287</v>
      </c>
      <c r="F23" s="80"/>
    </row>
    <row r="24" spans="1:6" x14ac:dyDescent="0.25">
      <c r="A24" s="81" t="s">
        <v>288</v>
      </c>
      <c r="B24" t="s">
        <v>289</v>
      </c>
      <c r="C24" t="s">
        <v>290</v>
      </c>
      <c r="D24" t="s">
        <v>291</v>
      </c>
      <c r="E24" t="s">
        <v>292</v>
      </c>
      <c r="F24" s="80"/>
    </row>
    <row r="25" spans="1:6" x14ac:dyDescent="0.25">
      <c r="A25" s="81" t="s">
        <v>293</v>
      </c>
      <c r="B25" t="s">
        <v>267</v>
      </c>
      <c r="C25" t="s">
        <v>294</v>
      </c>
      <c r="D25" t="s">
        <v>295</v>
      </c>
      <c r="E25" t="s">
        <v>296</v>
      </c>
      <c r="F25" s="80"/>
    </row>
    <row r="26" spans="1:6" x14ac:dyDescent="0.25">
      <c r="A26" s="81" t="s">
        <v>297</v>
      </c>
      <c r="B26" t="s">
        <v>298</v>
      </c>
      <c r="C26" t="s">
        <v>299</v>
      </c>
      <c r="D26" t="s">
        <v>300</v>
      </c>
      <c r="E26" t="s">
        <v>301</v>
      </c>
      <c r="F26" s="80"/>
    </row>
    <row r="27" spans="1:6" x14ac:dyDescent="0.25">
      <c r="A27" s="81" t="s">
        <v>302</v>
      </c>
      <c r="B27" t="s">
        <v>246</v>
      </c>
      <c r="C27" t="s">
        <v>303</v>
      </c>
      <c r="D27" t="s">
        <v>304</v>
      </c>
      <c r="E27" t="s">
        <v>305</v>
      </c>
      <c r="F27" s="80"/>
    </row>
    <row r="28" spans="1:6" x14ac:dyDescent="0.25">
      <c r="A28" s="81" t="s">
        <v>306</v>
      </c>
      <c r="B28" t="s">
        <v>246</v>
      </c>
      <c r="C28" t="s">
        <v>307</v>
      </c>
      <c r="D28" t="s">
        <v>308</v>
      </c>
      <c r="E28" t="s">
        <v>309</v>
      </c>
      <c r="F28" s="80"/>
    </row>
    <row r="29" spans="1:6" x14ac:dyDescent="0.25">
      <c r="A29" s="81" t="s">
        <v>310</v>
      </c>
      <c r="B29" t="s">
        <v>298</v>
      </c>
      <c r="C29" t="s">
        <v>311</v>
      </c>
      <c r="D29" t="s">
        <v>312</v>
      </c>
      <c r="E29" t="s">
        <v>313</v>
      </c>
      <c r="F29" s="80"/>
    </row>
    <row r="30" spans="1:6" x14ac:dyDescent="0.25">
      <c r="A30" s="81" t="s">
        <v>314</v>
      </c>
      <c r="B30" t="s">
        <v>257</v>
      </c>
      <c r="C30" t="s">
        <v>315</v>
      </c>
      <c r="D30" t="s">
        <v>316</v>
      </c>
      <c r="E30" t="s">
        <v>317</v>
      </c>
      <c r="F30" s="80"/>
    </row>
    <row r="31" spans="1:6" x14ac:dyDescent="0.25">
      <c r="A31" s="83" t="s">
        <v>318</v>
      </c>
      <c r="B31" s="84" t="s">
        <v>319</v>
      </c>
      <c r="C31" s="84" t="s">
        <v>320</v>
      </c>
      <c r="D31" s="84" t="s">
        <v>321</v>
      </c>
      <c r="E31" s="84" t="s">
        <v>322</v>
      </c>
      <c r="F31" s="85"/>
    </row>
    <row r="32" spans="1:6" x14ac:dyDescent="0.25">
      <c r="A32" s="34"/>
      <c r="B32"/>
      <c r="C32"/>
    </row>
    <row r="33" spans="1:6" x14ac:dyDescent="0.25">
      <c r="A33" s="34"/>
      <c r="B33"/>
      <c r="C33"/>
    </row>
    <row r="34" spans="1:6" s="34" customFormat="1" ht="28.5" customHeight="1" x14ac:dyDescent="0.25">
      <c r="A34" s="266" t="s">
        <v>323</v>
      </c>
      <c r="B34" s="266"/>
      <c r="C34" s="266"/>
      <c r="D34" s="266"/>
      <c r="E34" s="266"/>
      <c r="F34" s="266"/>
    </row>
    <row r="35" spans="1:6" s="44" customFormat="1" ht="28.5" customHeight="1" x14ac:dyDescent="0.25">
      <c r="A35" s="45" t="s">
        <v>218</v>
      </c>
      <c r="B35" s="45" t="s">
        <v>324</v>
      </c>
      <c r="C35" s="45" t="s">
        <v>161</v>
      </c>
      <c r="D35" s="45" t="s">
        <v>124</v>
      </c>
      <c r="E35" s="45" t="s">
        <v>163</v>
      </c>
      <c r="F35" s="45"/>
    </row>
    <row r="36" spans="1:6" x14ac:dyDescent="0.25">
      <c r="A36" s="82" t="s">
        <v>325</v>
      </c>
      <c r="B36" s="78" t="s">
        <v>267</v>
      </c>
      <c r="C36" s="78" t="s">
        <v>326</v>
      </c>
      <c r="D36" s="78" t="s">
        <v>327</v>
      </c>
      <c r="E36" s="78" t="s">
        <v>328</v>
      </c>
      <c r="F36" s="79"/>
    </row>
    <row r="37" spans="1:6" x14ac:dyDescent="0.25">
      <c r="A37" s="81" t="s">
        <v>329</v>
      </c>
      <c r="B37" t="s">
        <v>246</v>
      </c>
      <c r="C37" t="s">
        <v>330</v>
      </c>
      <c r="D37" t="s">
        <v>331</v>
      </c>
      <c r="E37" t="s">
        <v>332</v>
      </c>
      <c r="F37" s="80"/>
    </row>
    <row r="38" spans="1:6" x14ac:dyDescent="0.25">
      <c r="A38" s="81" t="s">
        <v>288</v>
      </c>
      <c r="B38" t="s">
        <v>289</v>
      </c>
      <c r="C38" t="s">
        <v>290</v>
      </c>
      <c r="D38" t="s">
        <v>333</v>
      </c>
      <c r="E38" t="s">
        <v>292</v>
      </c>
      <c r="F38" s="80"/>
    </row>
    <row r="39" spans="1:6" x14ac:dyDescent="0.25">
      <c r="A39" s="81" t="s">
        <v>302</v>
      </c>
      <c r="B39" t="s">
        <v>246</v>
      </c>
      <c r="C39" t="s">
        <v>303</v>
      </c>
      <c r="D39" t="s">
        <v>334</v>
      </c>
      <c r="E39" t="s">
        <v>305</v>
      </c>
      <c r="F39" s="80"/>
    </row>
    <row r="40" spans="1:6" x14ac:dyDescent="0.25">
      <c r="A40" s="81" t="s">
        <v>335</v>
      </c>
      <c r="B40" t="s">
        <v>257</v>
      </c>
      <c r="C40" t="s">
        <v>336</v>
      </c>
      <c r="D40" t="s">
        <v>337</v>
      </c>
      <c r="E40" t="s">
        <v>260</v>
      </c>
      <c r="F40" s="80"/>
    </row>
    <row r="41" spans="1:6" x14ac:dyDescent="0.25">
      <c r="A41" s="81" t="s">
        <v>338</v>
      </c>
      <c r="B41" t="s">
        <v>246</v>
      </c>
      <c r="C41" t="s">
        <v>339</v>
      </c>
      <c r="D41" t="s">
        <v>340</v>
      </c>
      <c r="E41" t="s">
        <v>309</v>
      </c>
      <c r="F41" s="80"/>
    </row>
    <row r="42" spans="1:6" x14ac:dyDescent="0.25">
      <c r="A42" s="81" t="s">
        <v>341</v>
      </c>
      <c r="B42" t="s">
        <v>298</v>
      </c>
      <c r="C42" t="s">
        <v>311</v>
      </c>
      <c r="D42" t="s">
        <v>342</v>
      </c>
      <c r="E42" t="s">
        <v>313</v>
      </c>
      <c r="F42" s="80"/>
    </row>
    <row r="43" spans="1:6" x14ac:dyDescent="0.25">
      <c r="A43" s="81" t="s">
        <v>343</v>
      </c>
      <c r="B43" t="s">
        <v>289</v>
      </c>
      <c r="C43" t="s">
        <v>344</v>
      </c>
      <c r="D43" t="s">
        <v>345</v>
      </c>
      <c r="E43" t="s">
        <v>346</v>
      </c>
      <c r="F43" s="80"/>
    </row>
    <row r="44" spans="1:6" x14ac:dyDescent="0.25">
      <c r="A44" s="81" t="s">
        <v>347</v>
      </c>
      <c r="B44" t="s">
        <v>246</v>
      </c>
      <c r="C44" t="s">
        <v>348</v>
      </c>
      <c r="D44" t="s">
        <v>349</v>
      </c>
      <c r="E44" t="s">
        <v>350</v>
      </c>
      <c r="F44" s="80"/>
    </row>
    <row r="45" spans="1:6" x14ac:dyDescent="0.25">
      <c r="A45" s="83" t="s">
        <v>351</v>
      </c>
      <c r="B45" s="84" t="s">
        <v>267</v>
      </c>
      <c r="C45" s="84" t="s">
        <v>352</v>
      </c>
      <c r="D45" s="84" t="s">
        <v>353</v>
      </c>
      <c r="E45" s="84" t="s">
        <v>354</v>
      </c>
      <c r="F45" s="85"/>
    </row>
  </sheetData>
  <autoFilter ref="A16:F16" xr:uid="{AA3E9E32-4699-416F-816B-DD48A0C71FD1}">
    <sortState xmlns:xlrd2="http://schemas.microsoft.com/office/spreadsheetml/2017/richdata2" ref="A17:F31">
      <sortCondition ref="A16"/>
    </sortState>
  </autoFilter>
  <dataConsolidate/>
  <mergeCells count="3">
    <mergeCell ref="A9:F9"/>
    <mergeCell ref="A15:F15"/>
    <mergeCell ref="A34:F34"/>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AB58-95D6-4FBD-BC3C-237385C1D9E8}">
  <sheetPr codeName="Sheet4"/>
  <dimension ref="A1:Y15"/>
  <sheetViews>
    <sheetView topLeftCell="B1" workbookViewId="0">
      <selection activeCell="F1" sqref="F1:F3"/>
    </sheetView>
  </sheetViews>
  <sheetFormatPr defaultRowHeight="15" x14ac:dyDescent="0.25"/>
  <sheetData>
    <row r="1" spans="1:25" x14ac:dyDescent="0.25">
      <c r="A1" t="s">
        <v>60</v>
      </c>
      <c r="D1" t="s">
        <v>77</v>
      </c>
      <c r="F1" t="s">
        <v>503</v>
      </c>
      <c r="H1" t="s">
        <v>82</v>
      </c>
      <c r="N1" t="s">
        <v>77</v>
      </c>
      <c r="Q1" t="s">
        <v>83</v>
      </c>
      <c r="U1" t="s">
        <v>84</v>
      </c>
    </row>
    <row r="2" spans="1:25" x14ac:dyDescent="0.25">
      <c r="A2" t="s">
        <v>85</v>
      </c>
      <c r="D2" t="s">
        <v>86</v>
      </c>
      <c r="F2" t="s">
        <v>68</v>
      </c>
      <c r="H2" t="s">
        <v>87</v>
      </c>
      <c r="N2" t="s">
        <v>88</v>
      </c>
      <c r="Q2" t="s">
        <v>61</v>
      </c>
      <c r="U2" s="14" t="s">
        <v>504</v>
      </c>
    </row>
    <row r="3" spans="1:25" x14ac:dyDescent="0.25">
      <c r="A3" t="s">
        <v>90</v>
      </c>
      <c r="D3" t="s">
        <v>91</v>
      </c>
      <c r="F3" t="s">
        <v>505</v>
      </c>
      <c r="H3" t="s">
        <v>92</v>
      </c>
      <c r="N3" t="s">
        <v>93</v>
      </c>
      <c r="Q3" t="s">
        <v>94</v>
      </c>
      <c r="U3" s="14" t="s">
        <v>506</v>
      </c>
    </row>
    <row r="4" spans="1:25" x14ac:dyDescent="0.25">
      <c r="A4" t="s">
        <v>96</v>
      </c>
      <c r="D4" t="s">
        <v>97</v>
      </c>
      <c r="H4" t="s">
        <v>98</v>
      </c>
      <c r="N4" t="s">
        <v>99</v>
      </c>
      <c r="U4" s="14" t="s">
        <v>507</v>
      </c>
    </row>
    <row r="5" spans="1:25" x14ac:dyDescent="0.25">
      <c r="D5" t="s">
        <v>101</v>
      </c>
      <c r="H5" t="s">
        <v>102</v>
      </c>
      <c r="N5" t="s">
        <v>103</v>
      </c>
      <c r="U5" s="14" t="s">
        <v>508</v>
      </c>
    </row>
    <row r="6" spans="1:25" x14ac:dyDescent="0.25">
      <c r="D6" t="s">
        <v>96</v>
      </c>
      <c r="H6" t="s">
        <v>105</v>
      </c>
      <c r="N6" t="s">
        <v>106</v>
      </c>
      <c r="T6" s="15" t="s">
        <v>107</v>
      </c>
      <c r="U6" t="str">
        <f>IF(AND(AB6="Lesson Title",W6&lt;&gt;""),"Feature",IF(X6&lt;&gt;"","Requirement ","Error"))</f>
        <v xml:space="preserve">Requirement </v>
      </c>
      <c r="W6" t="str">
        <f>IF(AB6="Lesson Title",Z6,"")</f>
        <v/>
      </c>
      <c r="X6">
        <f>IF(AB6="Lesson Title","",AA6)</f>
        <v>0</v>
      </c>
      <c r="Y6">
        <f>IF(AB6="Lesson Title","",AB6)</f>
        <v>0</v>
      </c>
    </row>
    <row r="7" spans="1:25" x14ac:dyDescent="0.25">
      <c r="D7" t="s">
        <v>108</v>
      </c>
      <c r="H7" t="s">
        <v>109</v>
      </c>
      <c r="N7" t="s">
        <v>110</v>
      </c>
      <c r="U7" s="14" t="s">
        <v>509</v>
      </c>
    </row>
    <row r="8" spans="1:25" x14ac:dyDescent="0.25">
      <c r="D8" t="s">
        <v>112</v>
      </c>
      <c r="H8" t="s">
        <v>113</v>
      </c>
      <c r="N8" t="s">
        <v>114</v>
      </c>
    </row>
    <row r="9" spans="1:25" x14ac:dyDescent="0.25">
      <c r="H9" t="s">
        <v>115</v>
      </c>
      <c r="N9" t="s">
        <v>116</v>
      </c>
      <c r="T9" s="19"/>
      <c r="U9" s="18" t="s">
        <v>117</v>
      </c>
      <c r="V9" s="19"/>
      <c r="W9" s="19"/>
      <c r="X9" s="15"/>
    </row>
    <row r="10" spans="1:25" x14ac:dyDescent="0.25">
      <c r="T10" s="19"/>
      <c r="W10" s="14" t="s">
        <v>510</v>
      </c>
      <c r="X10" s="15"/>
      <c r="Y10" s="14" t="s">
        <v>119</v>
      </c>
    </row>
    <row r="11" spans="1:25" x14ac:dyDescent="0.25">
      <c r="T11" s="19"/>
      <c r="U11" s="14" t="s">
        <v>120</v>
      </c>
      <c r="V11" s="14" t="s">
        <v>511</v>
      </c>
      <c r="W11" s="14" t="s">
        <v>512</v>
      </c>
      <c r="X11" s="15"/>
    </row>
    <row r="12" spans="1:25" x14ac:dyDescent="0.25">
      <c r="T12" s="15"/>
      <c r="U12" s="15"/>
      <c r="V12" s="15"/>
      <c r="W12" s="15"/>
      <c r="X12" s="15"/>
    </row>
    <row r="15" spans="1:25" x14ac:dyDescent="0.25">
      <c r="U15" s="14" t="s">
        <v>513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D6F86-9C18-4114-BE85-99CF12DC72ED}">
  <sheetPr codeName="Sheet5"/>
  <dimension ref="A1:Y196"/>
  <sheetViews>
    <sheetView workbookViewId="0">
      <selection activeCell="A3" sqref="A3:J29"/>
    </sheetView>
  </sheetViews>
  <sheetFormatPr defaultRowHeight="15" x14ac:dyDescent="0.25"/>
  <cols>
    <col min="1" max="4" width="18.28515625" customWidth="1"/>
    <col min="5" max="5" width="14.85546875" bestFit="1" customWidth="1"/>
    <col min="6" max="6" width="7.7109375" bestFit="1" customWidth="1"/>
    <col min="7" max="8" width="5.7109375" bestFit="1" customWidth="1"/>
    <col min="9" max="25" width="18.28515625" customWidth="1"/>
  </cols>
  <sheetData>
    <row r="1" spans="1:25" x14ac:dyDescent="0.25">
      <c r="A1" t="s">
        <v>514</v>
      </c>
      <c r="B1" t="s">
        <v>21</v>
      </c>
      <c r="C1" t="s">
        <v>22</v>
      </c>
      <c r="D1" t="s">
        <v>23</v>
      </c>
      <c r="E1" t="s">
        <v>370</v>
      </c>
      <c r="F1" t="s">
        <v>515</v>
      </c>
      <c r="G1" t="s">
        <v>516</v>
      </c>
      <c r="H1" t="s">
        <v>517</v>
      </c>
      <c r="I1" t="s">
        <v>80</v>
      </c>
      <c r="J1" t="s">
        <v>518</v>
      </c>
      <c r="K1" t="s">
        <v>519</v>
      </c>
      <c r="L1" t="s">
        <v>520</v>
      </c>
      <c r="M1" t="s">
        <v>12</v>
      </c>
      <c r="N1" t="s">
        <v>13</v>
      </c>
      <c r="O1" t="s">
        <v>14</v>
      </c>
      <c r="P1" t="s">
        <v>15</v>
      </c>
      <c r="Q1" t="s">
        <v>16</v>
      </c>
      <c r="R1" t="s">
        <v>521</v>
      </c>
      <c r="S1" t="s">
        <v>522</v>
      </c>
      <c r="T1" t="s">
        <v>523</v>
      </c>
      <c r="U1" t="s">
        <v>1</v>
      </c>
      <c r="V1" t="s">
        <v>524</v>
      </c>
      <c r="W1" t="s">
        <v>525</v>
      </c>
      <c r="X1" t="s">
        <v>526</v>
      </c>
      <c r="Y1" t="s">
        <v>70</v>
      </c>
    </row>
    <row r="2" spans="1:25" x14ac:dyDescent="0.25">
      <c r="A2" t="e">
        <f>IF(B2&lt;&gt;"","Epic",IF(AND(H2="Lesson Title",C2&lt;&gt;""),"Feature",IF(D2&lt;&gt;"","Requirement ","Error")))</f>
        <v>#REF!</v>
      </c>
      <c r="B2" t="e">
        <f>Course_Code</f>
        <v>#REF!</v>
      </c>
      <c r="J2" t="e">
        <f t="shared" ref="J2" si="0">Course_Title</f>
        <v>#REF!</v>
      </c>
      <c r="K2" t="e">
        <f>Course_Description</f>
        <v>#REF!</v>
      </c>
      <c r="L2" t="e">
        <f>Communication</f>
        <v>#REF!</v>
      </c>
      <c r="M2" t="e">
        <f>#REF!</f>
        <v>#REF!</v>
      </c>
      <c r="N2" t="e">
        <f>#REF!</f>
        <v>#REF!</v>
      </c>
      <c r="O2" t="e">
        <f>#REF!</f>
        <v>#REF!</v>
      </c>
      <c r="P2" t="e">
        <f>#REF!</f>
        <v>#REF!</v>
      </c>
      <c r="Q2" t="e">
        <f>#REF!</f>
        <v>#REF!</v>
      </c>
      <c r="R2" t="e">
        <f>IF(#REF!&lt;&gt;0,#REF!,"")</f>
        <v>#REF!</v>
      </c>
      <c r="S2" t="e">
        <f>IF(#REF!&lt;&gt;0,#REF!,"")</f>
        <v>#REF!</v>
      </c>
      <c r="T2" t="e">
        <f>#REF!</f>
        <v>#REF!</v>
      </c>
      <c r="U2" t="e">
        <f>Type</f>
        <v>#REF!</v>
      </c>
      <c r="V2" t="e">
        <f>New_Content_Creation_Correct</f>
        <v>#REF!</v>
      </c>
      <c r="W2" s="21" t="e">
        <f>Start</f>
        <v>#REF!</v>
      </c>
      <c r="X2" s="21" t="e">
        <f>target</f>
        <v>#REF!</v>
      </c>
      <c r="Y2" t="e">
        <f>#REF!</f>
        <v>#REF!</v>
      </c>
    </row>
    <row r="3" spans="1:25" x14ac:dyDescent="0.25">
      <c r="F3" s="9"/>
      <c r="G3" s="9"/>
      <c r="H3" s="13"/>
      <c r="I3" s="13"/>
    </row>
    <row r="4" spans="1:25" x14ac:dyDescent="0.25">
      <c r="F4" s="9"/>
      <c r="G4" s="9"/>
      <c r="H4" s="9"/>
      <c r="I4" s="13"/>
    </row>
    <row r="5" spans="1:25" x14ac:dyDescent="0.25">
      <c r="F5" s="9"/>
      <c r="G5" s="9"/>
      <c r="H5" s="9"/>
      <c r="I5" s="13"/>
    </row>
    <row r="6" spans="1:25" x14ac:dyDescent="0.25">
      <c r="F6" s="9"/>
      <c r="G6" s="9"/>
      <c r="H6" s="9"/>
      <c r="I6" s="13"/>
    </row>
    <row r="7" spans="1:25" x14ac:dyDescent="0.25">
      <c r="F7" s="9"/>
      <c r="G7" s="9"/>
      <c r="H7" s="9"/>
      <c r="I7" s="13"/>
    </row>
    <row r="8" spans="1:25" x14ac:dyDescent="0.25">
      <c r="F8" s="9"/>
      <c r="G8" s="9"/>
      <c r="H8" s="9"/>
      <c r="I8" s="13"/>
    </row>
    <row r="9" spans="1:25" x14ac:dyDescent="0.25">
      <c r="F9" s="9"/>
      <c r="G9" s="9"/>
      <c r="H9" s="9"/>
      <c r="I9" s="13"/>
    </row>
    <row r="10" spans="1:25" x14ac:dyDescent="0.25">
      <c r="F10" s="9"/>
      <c r="G10" s="9"/>
      <c r="H10" s="9"/>
      <c r="I10" s="13"/>
    </row>
    <row r="11" spans="1:25" x14ac:dyDescent="0.25">
      <c r="F11" s="9"/>
      <c r="G11" s="9"/>
      <c r="H11" s="9"/>
      <c r="I11" s="13"/>
    </row>
    <row r="12" spans="1:25" x14ac:dyDescent="0.25">
      <c r="F12" s="9"/>
      <c r="G12" s="9"/>
      <c r="H12" s="13"/>
      <c r="I12" s="13"/>
    </row>
    <row r="13" spans="1:25" x14ac:dyDescent="0.25">
      <c r="F13" s="9"/>
      <c r="G13" s="9"/>
      <c r="H13" s="9"/>
      <c r="I13" s="13"/>
    </row>
    <row r="14" spans="1:25" x14ac:dyDescent="0.25">
      <c r="F14" s="9"/>
      <c r="G14" s="9"/>
      <c r="H14" s="9"/>
      <c r="I14" s="13"/>
    </row>
    <row r="15" spans="1:25" x14ac:dyDescent="0.25">
      <c r="F15" s="9"/>
      <c r="G15" s="9"/>
      <c r="H15" s="9"/>
      <c r="I15" s="13"/>
    </row>
    <row r="16" spans="1:25" x14ac:dyDescent="0.25">
      <c r="F16" s="9"/>
      <c r="G16" s="9"/>
      <c r="H16" s="9"/>
      <c r="I16" s="13"/>
    </row>
    <row r="17" spans="1:9" x14ac:dyDescent="0.25">
      <c r="F17" s="9"/>
      <c r="G17" s="9"/>
      <c r="H17" s="9"/>
      <c r="I17" s="13"/>
    </row>
    <row r="18" spans="1:9" x14ac:dyDescent="0.25">
      <c r="F18" s="9"/>
      <c r="G18" s="9"/>
      <c r="H18" s="9"/>
      <c r="I18" s="13"/>
    </row>
    <row r="19" spans="1:9" x14ac:dyDescent="0.25">
      <c r="F19" s="9"/>
      <c r="G19" s="9"/>
      <c r="H19" s="9"/>
      <c r="I19" s="13"/>
    </row>
    <row r="20" spans="1:9" x14ac:dyDescent="0.25">
      <c r="F20" s="9"/>
      <c r="G20" s="9"/>
      <c r="H20" s="13"/>
      <c r="I20" s="13"/>
    </row>
    <row r="21" spans="1:9" x14ac:dyDescent="0.25">
      <c r="F21" s="9"/>
      <c r="G21" s="9"/>
      <c r="H21" s="9"/>
      <c r="I21" s="13"/>
    </row>
    <row r="22" spans="1:9" x14ac:dyDescent="0.25">
      <c r="F22" s="9"/>
      <c r="G22" s="9"/>
      <c r="H22" s="9"/>
      <c r="I22" s="13"/>
    </row>
    <row r="23" spans="1:9" x14ac:dyDescent="0.25">
      <c r="F23" s="9"/>
      <c r="G23" s="9"/>
      <c r="H23" s="9"/>
      <c r="I23" s="13"/>
    </row>
    <row r="24" spans="1:9" x14ac:dyDescent="0.25">
      <c r="F24" s="9"/>
      <c r="G24" s="9"/>
      <c r="H24" s="9"/>
      <c r="I24" s="13"/>
    </row>
    <row r="25" spans="1:9" x14ac:dyDescent="0.25">
      <c r="F25" s="9"/>
      <c r="G25" s="9"/>
      <c r="H25" s="9"/>
      <c r="I25" s="13"/>
    </row>
    <row r="26" spans="1:9" x14ac:dyDescent="0.25">
      <c r="F26" s="9"/>
      <c r="G26" s="9"/>
      <c r="H26" s="9"/>
      <c r="I26" s="13"/>
    </row>
    <row r="27" spans="1:9" x14ac:dyDescent="0.25">
      <c r="F27" s="9"/>
      <c r="G27" s="9"/>
      <c r="H27" s="9"/>
      <c r="I27" s="8"/>
    </row>
    <row r="28" spans="1:9" x14ac:dyDescent="0.25">
      <c r="F28" s="9"/>
      <c r="G28" s="9"/>
      <c r="H28" s="9"/>
      <c r="I28" s="8"/>
    </row>
    <row r="29" spans="1:9" x14ac:dyDescent="0.25">
      <c r="F29" s="9"/>
      <c r="G29" s="23"/>
      <c r="H29" s="23"/>
      <c r="I29" s="22"/>
    </row>
    <row r="30" spans="1:9" x14ac:dyDescent="0.25">
      <c r="A30" s="1"/>
      <c r="C30" s="1"/>
      <c r="D30" s="1"/>
      <c r="E30" s="1"/>
      <c r="F30" s="1"/>
      <c r="G30" s="1"/>
      <c r="H30" s="1"/>
      <c r="I30" s="1"/>
    </row>
    <row r="31" spans="1:9" x14ac:dyDescent="0.25">
      <c r="A31" s="1"/>
      <c r="C31" s="1"/>
      <c r="D31" s="1"/>
      <c r="E31" s="1"/>
      <c r="F31" s="1"/>
      <c r="G31" s="1"/>
      <c r="H31" s="1"/>
      <c r="I31" s="1"/>
    </row>
    <row r="32" spans="1:9" x14ac:dyDescent="0.25">
      <c r="A32" s="1"/>
      <c r="C32" s="1"/>
      <c r="D32" s="1"/>
      <c r="E32" s="1"/>
      <c r="F32" s="1"/>
      <c r="G32" s="1"/>
      <c r="H32" s="1"/>
      <c r="I32" s="1"/>
    </row>
    <row r="33" spans="1:9" x14ac:dyDescent="0.25">
      <c r="A33" s="1"/>
      <c r="C33" s="1"/>
      <c r="D33" s="1"/>
      <c r="E33" s="1"/>
      <c r="F33" s="1"/>
      <c r="G33" s="1"/>
      <c r="H33" s="1"/>
      <c r="I33" s="1"/>
    </row>
    <row r="34" spans="1:9" x14ac:dyDescent="0.25">
      <c r="A34" s="1"/>
      <c r="C34" s="1"/>
      <c r="D34" s="1"/>
      <c r="E34" s="1"/>
      <c r="F34" s="1"/>
      <c r="G34" s="1"/>
      <c r="H34" s="1"/>
      <c r="I34" s="1"/>
    </row>
    <row r="35" spans="1:9" x14ac:dyDescent="0.25">
      <c r="A35" s="1"/>
      <c r="C35" s="1"/>
      <c r="D35" s="1"/>
      <c r="E35" s="1"/>
      <c r="F35" s="1"/>
      <c r="G35" s="1"/>
      <c r="H35" s="1"/>
      <c r="I35" s="1"/>
    </row>
    <row r="36" spans="1:9" x14ac:dyDescent="0.25">
      <c r="A36" s="1"/>
      <c r="C36" s="1"/>
      <c r="D36" s="1"/>
      <c r="E36" s="1"/>
      <c r="F36" s="1"/>
      <c r="G36" s="1"/>
      <c r="H36" s="1"/>
      <c r="I36" s="1"/>
    </row>
    <row r="37" spans="1:9" x14ac:dyDescent="0.25">
      <c r="A37" s="1"/>
      <c r="C37" s="1"/>
      <c r="D37" s="1"/>
      <c r="E37" s="1"/>
      <c r="F37" s="1"/>
      <c r="G37" s="1"/>
      <c r="H37" s="1"/>
      <c r="I37" s="1"/>
    </row>
    <row r="38" spans="1:9" x14ac:dyDescent="0.25">
      <c r="A38" s="1"/>
      <c r="C38" s="1"/>
      <c r="D38" s="1"/>
      <c r="E38" s="1"/>
      <c r="F38" s="1"/>
      <c r="G38" s="1"/>
      <c r="H38" s="1"/>
      <c r="I38" s="1"/>
    </row>
    <row r="39" spans="1:9" x14ac:dyDescent="0.25">
      <c r="A39" s="1"/>
      <c r="C39" s="1"/>
      <c r="D39" s="1"/>
      <c r="E39" s="1"/>
      <c r="F39" s="1"/>
      <c r="G39" s="1"/>
      <c r="H39" s="1"/>
      <c r="I39" s="1"/>
    </row>
    <row r="40" spans="1:9" x14ac:dyDescent="0.25">
      <c r="A40" s="1"/>
      <c r="C40" s="1"/>
      <c r="D40" s="1"/>
      <c r="E40" s="1"/>
      <c r="F40" s="1"/>
      <c r="G40" s="1"/>
      <c r="H40" s="1"/>
      <c r="I40" s="1"/>
    </row>
    <row r="41" spans="1:9" x14ac:dyDescent="0.25">
      <c r="A41" s="1"/>
      <c r="C41" s="1"/>
      <c r="D41" s="1"/>
      <c r="E41" s="1"/>
      <c r="F41" s="1"/>
      <c r="G41" s="1"/>
      <c r="H41" s="1"/>
      <c r="I41" s="1"/>
    </row>
    <row r="42" spans="1:9" x14ac:dyDescent="0.25">
      <c r="A42" s="1"/>
      <c r="C42" s="1"/>
      <c r="D42" s="1"/>
      <c r="E42" s="1"/>
      <c r="F42" s="1"/>
      <c r="G42" s="1"/>
      <c r="H42" s="1"/>
      <c r="I42" s="1"/>
    </row>
    <row r="43" spans="1:9" x14ac:dyDescent="0.25">
      <c r="A43" s="1"/>
      <c r="C43" s="1"/>
      <c r="D43" s="1"/>
      <c r="E43" s="1"/>
      <c r="F43" s="1"/>
      <c r="G43" s="1"/>
      <c r="H43" s="1"/>
      <c r="I43" s="1"/>
    </row>
    <row r="44" spans="1:9" x14ac:dyDescent="0.25">
      <c r="A44" s="1"/>
      <c r="C44" s="1"/>
      <c r="D44" s="1"/>
      <c r="E44" s="1"/>
      <c r="F44" s="1"/>
      <c r="G44" s="1"/>
      <c r="H44" s="1"/>
      <c r="I44" s="1"/>
    </row>
    <row r="45" spans="1:9" x14ac:dyDescent="0.25">
      <c r="A45" s="1"/>
      <c r="C45" s="1"/>
      <c r="D45" s="1"/>
      <c r="E45" s="1"/>
      <c r="F45" s="1"/>
      <c r="G45" s="1"/>
      <c r="H45" s="1"/>
      <c r="I45" s="1"/>
    </row>
    <row r="46" spans="1:9" x14ac:dyDescent="0.25">
      <c r="A46" s="1"/>
      <c r="C46" s="1"/>
      <c r="D46" s="1"/>
      <c r="E46" s="1"/>
      <c r="F46" s="1"/>
      <c r="G46" s="1"/>
      <c r="H46" s="1"/>
      <c r="I46" s="1"/>
    </row>
    <row r="47" spans="1:9" x14ac:dyDescent="0.25">
      <c r="A47" s="1"/>
      <c r="C47" s="1"/>
      <c r="D47" s="1"/>
      <c r="E47" s="1"/>
      <c r="F47" s="1"/>
      <c r="G47" s="1"/>
      <c r="H47" s="1"/>
      <c r="I47" s="1"/>
    </row>
    <row r="48" spans="1:9" x14ac:dyDescent="0.25">
      <c r="A48" s="1"/>
      <c r="C48" s="1"/>
      <c r="D48" s="1"/>
      <c r="E48" s="1"/>
      <c r="F48" s="1"/>
      <c r="G48" s="1"/>
      <c r="H48" s="1"/>
      <c r="I48" s="1"/>
    </row>
    <row r="49" spans="1:9" x14ac:dyDescent="0.25">
      <c r="A49" s="1"/>
      <c r="C49" s="1"/>
      <c r="D49" s="1"/>
      <c r="E49" s="1"/>
      <c r="F49" s="1"/>
      <c r="G49" s="1"/>
      <c r="H49" s="1"/>
      <c r="I49" s="1"/>
    </row>
    <row r="50" spans="1:9" x14ac:dyDescent="0.25">
      <c r="A50" s="1"/>
      <c r="C50" s="1"/>
      <c r="D50" s="1"/>
      <c r="E50" s="1"/>
      <c r="F50" s="1"/>
      <c r="G50" s="1"/>
      <c r="H50" s="1"/>
      <c r="I50" s="1"/>
    </row>
    <row r="51" spans="1:9" x14ac:dyDescent="0.25">
      <c r="A51" s="1"/>
      <c r="C51" s="1"/>
      <c r="D51" s="1"/>
      <c r="E51" s="1"/>
      <c r="F51" s="1"/>
      <c r="G51" s="1"/>
      <c r="H51" s="1"/>
      <c r="I51" s="1"/>
    </row>
    <row r="52" spans="1:9" x14ac:dyDescent="0.25">
      <c r="A52" s="1"/>
      <c r="C52" s="1"/>
      <c r="D52" s="1"/>
      <c r="E52" s="1"/>
      <c r="F52" s="1"/>
      <c r="G52" s="1"/>
      <c r="H52" s="1"/>
      <c r="I52" s="1"/>
    </row>
    <row r="53" spans="1:9" x14ac:dyDescent="0.25">
      <c r="A53" s="1"/>
      <c r="C53" s="1"/>
      <c r="D53" s="1"/>
      <c r="E53" s="1"/>
      <c r="F53" s="1"/>
      <c r="G53" s="1"/>
      <c r="H53" s="1"/>
      <c r="I53" s="1"/>
    </row>
    <row r="54" spans="1:9" x14ac:dyDescent="0.25">
      <c r="A54" s="1"/>
      <c r="C54" s="1"/>
      <c r="D54" s="1"/>
      <c r="E54" s="1"/>
      <c r="F54" s="1"/>
      <c r="G54" s="1"/>
      <c r="H54" s="1"/>
      <c r="I54" s="1"/>
    </row>
    <row r="55" spans="1:9" x14ac:dyDescent="0.25">
      <c r="A55" s="1"/>
      <c r="C55" s="1"/>
      <c r="D55" s="1"/>
      <c r="E55" s="1"/>
      <c r="F55" s="1"/>
      <c r="G55" s="1"/>
      <c r="H55" s="1"/>
      <c r="I55" s="1"/>
    </row>
    <row r="56" spans="1:9" x14ac:dyDescent="0.25">
      <c r="A56" s="1"/>
      <c r="C56" s="1"/>
      <c r="D56" s="1"/>
      <c r="E56" s="1"/>
      <c r="F56" s="1"/>
      <c r="G56" s="1"/>
      <c r="H56" s="1"/>
      <c r="I56" s="1"/>
    </row>
    <row r="57" spans="1:9" x14ac:dyDescent="0.25">
      <c r="A57" s="1"/>
      <c r="C57" s="1"/>
      <c r="D57" s="1"/>
      <c r="E57" s="1"/>
      <c r="F57" s="1"/>
      <c r="G57" s="1"/>
      <c r="H57" s="1"/>
      <c r="I57" s="1"/>
    </row>
    <row r="58" spans="1:9" x14ac:dyDescent="0.25">
      <c r="A58" s="1"/>
      <c r="C58" s="1"/>
      <c r="D58" s="1"/>
      <c r="E58" s="1"/>
      <c r="F58" s="1"/>
      <c r="G58" s="1"/>
      <c r="H58" s="1"/>
      <c r="I58" s="1"/>
    </row>
    <row r="59" spans="1:9" x14ac:dyDescent="0.25">
      <c r="A59" s="1"/>
      <c r="C59" s="1"/>
      <c r="D59" s="1"/>
      <c r="E59" s="1"/>
      <c r="F59" s="1"/>
      <c r="G59" s="1"/>
      <c r="H59" s="1"/>
      <c r="I59" s="1"/>
    </row>
    <row r="60" spans="1:9" x14ac:dyDescent="0.25">
      <c r="A60" s="1"/>
      <c r="C60" s="1"/>
      <c r="D60" s="1"/>
      <c r="E60" s="1"/>
      <c r="F60" s="1"/>
      <c r="G60" s="1"/>
      <c r="H60" s="1"/>
      <c r="I60" s="1"/>
    </row>
    <row r="61" spans="1:9" x14ac:dyDescent="0.25">
      <c r="A61" s="1"/>
      <c r="C61" s="1"/>
      <c r="D61" s="1"/>
      <c r="E61" s="1"/>
      <c r="F61" s="1"/>
      <c r="G61" s="1"/>
      <c r="H61" s="1"/>
      <c r="I61" s="1"/>
    </row>
    <row r="62" spans="1:9" x14ac:dyDescent="0.25">
      <c r="A62" s="1"/>
      <c r="C62" s="1"/>
      <c r="D62" s="1"/>
      <c r="E62" s="1"/>
      <c r="F62" s="1"/>
      <c r="G62" s="1"/>
      <c r="H62" s="1"/>
      <c r="I62" s="1"/>
    </row>
    <row r="63" spans="1:9" x14ac:dyDescent="0.25">
      <c r="A63" s="1"/>
      <c r="C63" s="1"/>
      <c r="D63" s="1"/>
      <c r="E63" s="1"/>
      <c r="F63" s="1"/>
      <c r="G63" s="1"/>
      <c r="H63" s="1"/>
      <c r="I63" s="1"/>
    </row>
    <row r="64" spans="1:9" x14ac:dyDescent="0.25">
      <c r="A64" s="1"/>
      <c r="C64" s="1"/>
      <c r="D64" s="1"/>
      <c r="E64" s="1"/>
      <c r="F64" s="1"/>
      <c r="G64" s="1"/>
      <c r="H64" s="1"/>
      <c r="I64" s="1"/>
    </row>
    <row r="65" spans="1:9" x14ac:dyDescent="0.25">
      <c r="A65" s="1"/>
      <c r="C65" s="1"/>
      <c r="D65" s="1"/>
      <c r="E65" s="1"/>
      <c r="F65" s="1"/>
      <c r="G65" s="1"/>
      <c r="H65" s="1"/>
      <c r="I65" s="1"/>
    </row>
    <row r="66" spans="1:9" x14ac:dyDescent="0.25">
      <c r="A66" s="1"/>
      <c r="C66" s="1"/>
      <c r="D66" s="1"/>
      <c r="E66" s="1"/>
      <c r="F66" s="1"/>
      <c r="G66" s="1"/>
      <c r="H66" s="1"/>
      <c r="I66" s="1"/>
    </row>
    <row r="67" spans="1:9" x14ac:dyDescent="0.25">
      <c r="A67" s="1"/>
      <c r="C67" s="1"/>
      <c r="D67" s="1"/>
      <c r="E67" s="1"/>
      <c r="F67" s="1"/>
      <c r="G67" s="1"/>
      <c r="H67" s="1"/>
      <c r="I67" s="1"/>
    </row>
    <row r="68" spans="1:9" x14ac:dyDescent="0.25">
      <c r="A68" s="1"/>
      <c r="C68" s="1"/>
      <c r="D68" s="1"/>
      <c r="E68" s="1"/>
      <c r="F68" s="1"/>
      <c r="G68" s="1"/>
      <c r="H68" s="1"/>
      <c r="I68" s="1"/>
    </row>
    <row r="69" spans="1:9" x14ac:dyDescent="0.25">
      <c r="A69" s="1"/>
      <c r="C69" s="1"/>
      <c r="D69" s="1"/>
      <c r="E69" s="1"/>
      <c r="F69" s="1"/>
      <c r="G69" s="1"/>
      <c r="H69" s="1"/>
      <c r="I69" s="1"/>
    </row>
    <row r="70" spans="1:9" x14ac:dyDescent="0.25">
      <c r="A70" s="1"/>
      <c r="C70" s="1"/>
      <c r="D70" s="1"/>
      <c r="E70" s="1"/>
      <c r="F70" s="1"/>
      <c r="G70" s="1"/>
      <c r="H70" s="1"/>
      <c r="I70" s="1"/>
    </row>
    <row r="71" spans="1:9" x14ac:dyDescent="0.25">
      <c r="A71" s="1"/>
      <c r="C71" s="1"/>
      <c r="D71" s="1"/>
      <c r="E71" s="1"/>
      <c r="F71" s="1"/>
      <c r="G71" s="1"/>
      <c r="H71" s="1"/>
      <c r="I71" s="1"/>
    </row>
    <row r="72" spans="1:9" x14ac:dyDescent="0.25">
      <c r="A72" s="1"/>
      <c r="C72" s="1"/>
      <c r="D72" s="1"/>
      <c r="E72" s="1"/>
      <c r="F72" s="1"/>
      <c r="G72" s="1"/>
      <c r="H72" s="1"/>
      <c r="I72" s="1"/>
    </row>
    <row r="73" spans="1:9" x14ac:dyDescent="0.25">
      <c r="A73" s="1"/>
      <c r="C73" s="1"/>
      <c r="D73" s="1"/>
      <c r="E73" s="1"/>
      <c r="F73" s="1"/>
      <c r="G73" s="1"/>
      <c r="H73" s="1"/>
      <c r="I73" s="1"/>
    </row>
    <row r="74" spans="1:9" x14ac:dyDescent="0.25">
      <c r="A74" s="1"/>
      <c r="C74" s="1"/>
      <c r="D74" s="1"/>
      <c r="E74" s="1"/>
      <c r="F74" s="1"/>
      <c r="G74" s="1"/>
      <c r="H74" s="1"/>
      <c r="I74" s="1"/>
    </row>
    <row r="75" spans="1:9" x14ac:dyDescent="0.25">
      <c r="A75" s="1"/>
      <c r="C75" s="1"/>
      <c r="D75" s="1"/>
      <c r="E75" s="1"/>
      <c r="F75" s="1"/>
      <c r="G75" s="1"/>
      <c r="H75" s="1"/>
      <c r="I75" s="1"/>
    </row>
    <row r="76" spans="1:9" x14ac:dyDescent="0.25">
      <c r="A76" s="1"/>
      <c r="C76" s="1"/>
      <c r="D76" s="1"/>
      <c r="E76" s="1"/>
      <c r="F76" s="1"/>
      <c r="G76" s="1"/>
      <c r="H76" s="1"/>
      <c r="I76" s="1"/>
    </row>
    <row r="77" spans="1:9" x14ac:dyDescent="0.25">
      <c r="A77" s="1"/>
      <c r="C77" s="1"/>
      <c r="D77" s="1"/>
      <c r="E77" s="1"/>
      <c r="F77" s="1"/>
      <c r="G77" s="1"/>
      <c r="H77" s="1"/>
      <c r="I77" s="1"/>
    </row>
    <row r="78" spans="1:9" x14ac:dyDescent="0.25">
      <c r="A78" s="1"/>
      <c r="C78" s="1"/>
      <c r="D78" s="1"/>
      <c r="E78" s="1"/>
      <c r="F78" s="1"/>
      <c r="G78" s="1"/>
      <c r="H78" s="1"/>
      <c r="I78" s="1"/>
    </row>
    <row r="79" spans="1:9" x14ac:dyDescent="0.25">
      <c r="A79" s="1"/>
      <c r="C79" s="1"/>
      <c r="D79" s="1"/>
      <c r="E79" s="1"/>
      <c r="F79" s="1"/>
      <c r="G79" s="1"/>
      <c r="H79" s="1"/>
      <c r="I79" s="1"/>
    </row>
    <row r="80" spans="1:9" x14ac:dyDescent="0.25">
      <c r="A80" s="1"/>
      <c r="C80" s="1"/>
      <c r="D80" s="1"/>
      <c r="E80" s="1"/>
      <c r="F80" s="1"/>
      <c r="G80" s="1"/>
      <c r="H80" s="1"/>
      <c r="I80" s="1"/>
    </row>
    <row r="81" spans="1:9" x14ac:dyDescent="0.25">
      <c r="A81" s="1"/>
      <c r="C81" s="1"/>
      <c r="D81" s="1"/>
      <c r="E81" s="1"/>
      <c r="F81" s="1"/>
      <c r="G81" s="1"/>
      <c r="H81" s="1"/>
      <c r="I81" s="1"/>
    </row>
    <row r="82" spans="1:9" x14ac:dyDescent="0.25">
      <c r="A82" s="1"/>
      <c r="C82" s="1"/>
      <c r="D82" s="1"/>
      <c r="E82" s="1"/>
      <c r="F82" s="1"/>
      <c r="G82" s="1"/>
      <c r="H82" s="1"/>
      <c r="I82" s="1"/>
    </row>
    <row r="83" spans="1:9" x14ac:dyDescent="0.25">
      <c r="A83" s="1"/>
      <c r="C83" s="1"/>
      <c r="D83" s="1"/>
      <c r="E83" s="1"/>
      <c r="F83" s="1"/>
      <c r="G83" s="1"/>
      <c r="H83" s="1"/>
      <c r="I83" s="1"/>
    </row>
    <row r="84" spans="1:9" x14ac:dyDescent="0.25">
      <c r="A84" s="1"/>
      <c r="C84" s="1"/>
      <c r="D84" s="1"/>
      <c r="E84" s="1"/>
      <c r="F84" s="1"/>
      <c r="G84" s="1"/>
      <c r="H84" s="1"/>
      <c r="I84" s="1"/>
    </row>
    <row r="85" spans="1:9" x14ac:dyDescent="0.25">
      <c r="A85" s="1"/>
      <c r="C85" s="1"/>
      <c r="D85" s="1"/>
      <c r="E85" s="1"/>
      <c r="F85" s="1"/>
      <c r="G85" s="1"/>
      <c r="H85" s="1"/>
      <c r="I85" s="1"/>
    </row>
    <row r="86" spans="1:9" x14ac:dyDescent="0.25">
      <c r="A86" s="1"/>
      <c r="C86" s="1"/>
      <c r="D86" s="1"/>
      <c r="E86" s="1"/>
      <c r="F86" s="1"/>
      <c r="G86" s="1"/>
      <c r="H86" s="1"/>
      <c r="I86" s="1"/>
    </row>
    <row r="87" spans="1:9" x14ac:dyDescent="0.25">
      <c r="A87" s="1"/>
      <c r="C87" s="1"/>
      <c r="D87" s="1"/>
      <c r="E87" s="1"/>
      <c r="F87" s="1"/>
      <c r="G87" s="1"/>
      <c r="H87" s="1"/>
      <c r="I87" s="1"/>
    </row>
    <row r="88" spans="1:9" x14ac:dyDescent="0.25">
      <c r="A88" s="1"/>
      <c r="C88" s="1"/>
      <c r="D88" s="1"/>
      <c r="E88" s="1"/>
      <c r="F88" s="1"/>
      <c r="G88" s="1"/>
      <c r="H88" s="1"/>
      <c r="I88" s="1"/>
    </row>
    <row r="89" spans="1:9" x14ac:dyDescent="0.25">
      <c r="A89" s="1"/>
      <c r="C89" s="1"/>
      <c r="D89" s="1"/>
      <c r="E89" s="1"/>
      <c r="F89" s="1"/>
      <c r="G89" s="1"/>
      <c r="H89" s="1"/>
      <c r="I89" s="1"/>
    </row>
    <row r="90" spans="1:9" x14ac:dyDescent="0.25">
      <c r="A90" s="1"/>
      <c r="C90" s="1"/>
      <c r="D90" s="1"/>
      <c r="E90" s="1"/>
      <c r="F90" s="1"/>
      <c r="G90" s="1"/>
      <c r="H90" s="1"/>
      <c r="I90" s="1"/>
    </row>
    <row r="91" spans="1:9" x14ac:dyDescent="0.25">
      <c r="A91" s="1"/>
      <c r="C91" s="1"/>
      <c r="D91" s="1"/>
      <c r="E91" s="1"/>
      <c r="F91" s="1"/>
      <c r="G91" s="1"/>
      <c r="H91" s="1"/>
      <c r="I91" s="1"/>
    </row>
    <row r="92" spans="1:9" x14ac:dyDescent="0.25">
      <c r="A92" s="1"/>
      <c r="C92" s="1"/>
      <c r="D92" s="1"/>
      <c r="E92" s="1"/>
      <c r="F92" s="1"/>
      <c r="G92" s="1"/>
      <c r="H92" s="1"/>
      <c r="I92" s="1"/>
    </row>
    <row r="93" spans="1:9" x14ac:dyDescent="0.25">
      <c r="A93" s="1"/>
      <c r="C93" s="1"/>
      <c r="D93" s="1"/>
      <c r="E93" s="1"/>
      <c r="F93" s="1"/>
      <c r="G93" s="1"/>
      <c r="H93" s="1"/>
      <c r="I93" s="1"/>
    </row>
    <row r="94" spans="1:9" x14ac:dyDescent="0.25">
      <c r="A94" s="1"/>
      <c r="C94" s="1"/>
      <c r="D94" s="1"/>
      <c r="E94" s="1"/>
      <c r="F94" s="1"/>
      <c r="G94" s="1"/>
      <c r="H94" s="1"/>
      <c r="I94" s="1"/>
    </row>
    <row r="95" spans="1:9" x14ac:dyDescent="0.25">
      <c r="A95" s="1"/>
      <c r="C95" s="1"/>
      <c r="D95" s="1"/>
      <c r="E95" s="1"/>
      <c r="F95" s="1"/>
      <c r="G95" s="1"/>
      <c r="H95" s="1"/>
      <c r="I95" s="1"/>
    </row>
    <row r="96" spans="1:9" x14ac:dyDescent="0.25">
      <c r="A96" s="1"/>
      <c r="C96" s="1"/>
      <c r="D96" s="1"/>
      <c r="E96" s="1"/>
      <c r="F96" s="1"/>
      <c r="G96" s="1"/>
      <c r="H96" s="1"/>
      <c r="I96" s="1"/>
    </row>
    <row r="97" spans="1:9" x14ac:dyDescent="0.25">
      <c r="A97" s="1"/>
      <c r="C97" s="1"/>
      <c r="D97" s="1"/>
      <c r="E97" s="1"/>
      <c r="F97" s="1"/>
      <c r="G97" s="1"/>
      <c r="H97" s="1"/>
      <c r="I97" s="1"/>
    </row>
    <row r="98" spans="1:9" x14ac:dyDescent="0.25">
      <c r="A98" s="1"/>
      <c r="C98" s="1"/>
      <c r="D98" s="1"/>
      <c r="E98" s="1"/>
      <c r="F98" s="1"/>
      <c r="G98" s="1"/>
      <c r="H98" s="1"/>
      <c r="I98" s="1"/>
    </row>
    <row r="99" spans="1:9" x14ac:dyDescent="0.25">
      <c r="A99" s="1"/>
      <c r="C99" s="1"/>
      <c r="D99" s="1"/>
      <c r="E99" s="1"/>
      <c r="F99" s="1"/>
      <c r="G99" s="1"/>
      <c r="H99" s="1"/>
      <c r="I99" s="1"/>
    </row>
    <row r="100" spans="1:9" x14ac:dyDescent="0.25">
      <c r="A100" s="1"/>
      <c r="C100" s="1"/>
      <c r="D100" s="1"/>
      <c r="E100" s="1"/>
      <c r="F100" s="1"/>
      <c r="G100" s="1"/>
      <c r="H100" s="1"/>
      <c r="I100" s="1"/>
    </row>
    <row r="101" spans="1:9" x14ac:dyDescent="0.25">
      <c r="A101" s="1"/>
      <c r="C101" s="1"/>
      <c r="D101" s="1"/>
      <c r="E101" s="1"/>
      <c r="F101" s="1"/>
      <c r="G101" s="1"/>
      <c r="H101" s="1"/>
      <c r="I101" s="1"/>
    </row>
    <row r="102" spans="1:9" x14ac:dyDescent="0.25">
      <c r="A102" s="1"/>
      <c r="C102" s="1"/>
      <c r="D102" s="1"/>
      <c r="E102" s="1"/>
      <c r="F102" s="1"/>
      <c r="G102" s="1"/>
      <c r="H102" s="1"/>
      <c r="I102" s="1"/>
    </row>
    <row r="103" spans="1:9" x14ac:dyDescent="0.25">
      <c r="A103" s="1"/>
      <c r="C103" s="1"/>
      <c r="D103" s="1"/>
      <c r="E103" s="1"/>
      <c r="F103" s="1"/>
      <c r="G103" s="1"/>
      <c r="H103" s="1"/>
      <c r="I103" s="1"/>
    </row>
    <row r="104" spans="1:9" x14ac:dyDescent="0.25">
      <c r="A104" s="1"/>
      <c r="C104" s="1"/>
      <c r="D104" s="1"/>
      <c r="E104" s="1"/>
      <c r="F104" s="1"/>
      <c r="G104" s="1"/>
      <c r="H104" s="1"/>
      <c r="I104" s="1"/>
    </row>
    <row r="105" spans="1:9" x14ac:dyDescent="0.25">
      <c r="A105" s="1"/>
      <c r="C105" s="1"/>
      <c r="D105" s="1"/>
      <c r="E105" s="1"/>
      <c r="F105" s="1"/>
      <c r="G105" s="1"/>
      <c r="H105" s="1"/>
      <c r="I105" s="1"/>
    </row>
    <row r="106" spans="1:9" x14ac:dyDescent="0.25">
      <c r="A106" s="1"/>
      <c r="C106" s="1"/>
      <c r="D106" s="1"/>
      <c r="E106" s="1"/>
      <c r="F106" s="1"/>
      <c r="G106" s="1"/>
      <c r="H106" s="1"/>
      <c r="I106" s="1"/>
    </row>
    <row r="107" spans="1:9" x14ac:dyDescent="0.25">
      <c r="A107" s="1"/>
      <c r="C107" s="1"/>
      <c r="D107" s="1"/>
      <c r="E107" s="1"/>
      <c r="F107" s="1"/>
      <c r="G107" s="1"/>
      <c r="H107" s="1"/>
      <c r="I107" s="1"/>
    </row>
    <row r="108" spans="1:9" x14ac:dyDescent="0.25">
      <c r="A108" s="1"/>
      <c r="C108" s="1"/>
      <c r="D108" s="1"/>
      <c r="E108" s="1"/>
      <c r="F108" s="1"/>
      <c r="G108" s="1"/>
      <c r="H108" s="1"/>
      <c r="I108" s="1"/>
    </row>
    <row r="109" spans="1:9" x14ac:dyDescent="0.25">
      <c r="A109" s="1"/>
      <c r="C109" s="1"/>
      <c r="D109" s="1"/>
      <c r="E109" s="1"/>
      <c r="F109" s="1"/>
      <c r="G109" s="1"/>
      <c r="H109" s="1"/>
      <c r="I109" s="1"/>
    </row>
    <row r="110" spans="1:9" x14ac:dyDescent="0.25">
      <c r="A110" s="1"/>
      <c r="C110" s="1"/>
      <c r="D110" s="1"/>
      <c r="E110" s="1"/>
      <c r="F110" s="1"/>
      <c r="G110" s="1"/>
      <c r="H110" s="1"/>
      <c r="I110" s="1"/>
    </row>
    <row r="111" spans="1:9" x14ac:dyDescent="0.25">
      <c r="A111" s="1"/>
      <c r="C111" s="1"/>
      <c r="D111" s="1"/>
      <c r="E111" s="1"/>
      <c r="F111" s="1"/>
      <c r="G111" s="1"/>
      <c r="H111" s="1"/>
      <c r="I111" s="1"/>
    </row>
    <row r="112" spans="1:9" x14ac:dyDescent="0.25">
      <c r="A112" s="1"/>
      <c r="C112" s="1"/>
      <c r="D112" s="1"/>
      <c r="E112" s="1"/>
      <c r="F112" s="1"/>
      <c r="G112" s="1"/>
      <c r="H112" s="1"/>
      <c r="I112" s="1"/>
    </row>
    <row r="113" spans="1:9" x14ac:dyDescent="0.25">
      <c r="A113" s="1"/>
      <c r="C113" s="1"/>
      <c r="D113" s="1"/>
      <c r="E113" s="1"/>
      <c r="F113" s="1"/>
      <c r="G113" s="1"/>
      <c r="H113" s="1"/>
      <c r="I113" s="1"/>
    </row>
    <row r="114" spans="1:9" x14ac:dyDescent="0.25">
      <c r="A114" s="1"/>
      <c r="C114" s="1"/>
      <c r="D114" s="1"/>
      <c r="E114" s="1"/>
      <c r="F114" s="1"/>
      <c r="G114" s="1"/>
      <c r="H114" s="1"/>
      <c r="I114" s="1"/>
    </row>
    <row r="115" spans="1:9" x14ac:dyDescent="0.25">
      <c r="A115" s="1"/>
      <c r="C115" s="1"/>
      <c r="D115" s="1"/>
      <c r="E115" s="1"/>
      <c r="F115" s="1"/>
      <c r="G115" s="1"/>
      <c r="H115" s="1"/>
      <c r="I115" s="1"/>
    </row>
    <row r="116" spans="1:9" x14ac:dyDescent="0.25">
      <c r="A116" s="1"/>
      <c r="C116" s="1"/>
      <c r="D116" s="1"/>
      <c r="E116" s="1"/>
      <c r="F116" s="1"/>
      <c r="G116" s="1"/>
      <c r="H116" s="1"/>
      <c r="I116" s="1"/>
    </row>
    <row r="117" spans="1:9" x14ac:dyDescent="0.25">
      <c r="A117" s="1"/>
      <c r="C117" s="1"/>
      <c r="D117" s="1"/>
      <c r="E117" s="1"/>
      <c r="F117" s="1"/>
      <c r="G117" s="1"/>
      <c r="H117" s="1"/>
      <c r="I117" s="1"/>
    </row>
    <row r="118" spans="1:9" x14ac:dyDescent="0.25">
      <c r="A118" s="1"/>
      <c r="C118" s="1"/>
      <c r="D118" s="1"/>
      <c r="E118" s="1"/>
      <c r="F118" s="1"/>
      <c r="G118" s="1"/>
      <c r="H118" s="1"/>
      <c r="I118" s="1"/>
    </row>
    <row r="119" spans="1:9" x14ac:dyDescent="0.25">
      <c r="A119" s="1"/>
      <c r="C119" s="1"/>
      <c r="D119" s="1"/>
      <c r="E119" s="1"/>
      <c r="F119" s="1"/>
      <c r="G119" s="1"/>
      <c r="H119" s="1"/>
      <c r="I119" s="1"/>
    </row>
    <row r="120" spans="1:9" x14ac:dyDescent="0.25">
      <c r="A120" s="1"/>
      <c r="C120" s="1"/>
      <c r="D120" s="1"/>
      <c r="E120" s="1"/>
      <c r="F120" s="1"/>
      <c r="G120" s="1"/>
      <c r="H120" s="1"/>
      <c r="I120" s="1"/>
    </row>
    <row r="121" spans="1:9" x14ac:dyDescent="0.25">
      <c r="A121" s="1"/>
      <c r="C121" s="1"/>
      <c r="D121" s="1"/>
      <c r="E121" s="1"/>
      <c r="F121" s="1"/>
      <c r="G121" s="1"/>
      <c r="H121" s="1"/>
      <c r="I121" s="1"/>
    </row>
    <row r="122" spans="1:9" x14ac:dyDescent="0.25">
      <c r="A122" s="1"/>
      <c r="C122" s="1"/>
      <c r="D122" s="1"/>
      <c r="E122" s="1"/>
      <c r="F122" s="1"/>
      <c r="G122" s="1"/>
      <c r="H122" s="1"/>
      <c r="I122" s="1"/>
    </row>
    <row r="123" spans="1:9" x14ac:dyDescent="0.25">
      <c r="A123" s="1"/>
      <c r="C123" s="1"/>
      <c r="D123" s="1"/>
      <c r="E123" s="1"/>
      <c r="F123" s="1"/>
      <c r="G123" s="1"/>
      <c r="H123" s="1"/>
      <c r="I123" s="1"/>
    </row>
    <row r="124" spans="1:9" x14ac:dyDescent="0.25">
      <c r="A124" s="1"/>
      <c r="C124" s="1"/>
      <c r="D124" s="1"/>
      <c r="E124" s="1"/>
      <c r="F124" s="1"/>
      <c r="G124" s="1"/>
      <c r="H124" s="1"/>
      <c r="I124" s="1"/>
    </row>
    <row r="125" spans="1:9" x14ac:dyDescent="0.25">
      <c r="A125" s="1"/>
      <c r="C125" s="1"/>
      <c r="D125" s="1"/>
      <c r="E125" s="1"/>
      <c r="F125" s="1"/>
      <c r="G125" s="1"/>
      <c r="H125" s="1"/>
      <c r="I125" s="1"/>
    </row>
    <row r="126" spans="1:9" x14ac:dyDescent="0.25">
      <c r="A126" s="1"/>
      <c r="C126" s="1"/>
      <c r="D126" s="1"/>
      <c r="E126" s="1"/>
      <c r="F126" s="1"/>
      <c r="G126" s="1"/>
      <c r="H126" s="1"/>
      <c r="I126" s="1"/>
    </row>
    <row r="127" spans="1:9" x14ac:dyDescent="0.25">
      <c r="A127" s="1"/>
      <c r="C127" s="1"/>
      <c r="D127" s="1"/>
      <c r="E127" s="1"/>
      <c r="F127" s="1"/>
      <c r="G127" s="1"/>
      <c r="H127" s="1"/>
      <c r="I127" s="1"/>
    </row>
    <row r="128" spans="1:9" x14ac:dyDescent="0.25">
      <c r="A128" s="1"/>
      <c r="C128" s="1"/>
      <c r="D128" s="1"/>
      <c r="E128" s="1"/>
      <c r="F128" s="1"/>
      <c r="G128" s="1"/>
      <c r="H128" s="1"/>
      <c r="I128" s="1"/>
    </row>
    <row r="129" spans="1:9" x14ac:dyDescent="0.25">
      <c r="A129" s="1"/>
      <c r="C129" s="1"/>
      <c r="D129" s="1"/>
      <c r="E129" s="1"/>
      <c r="F129" s="1"/>
      <c r="G129" s="1"/>
      <c r="H129" s="1"/>
      <c r="I129" s="1"/>
    </row>
    <row r="130" spans="1:9" x14ac:dyDescent="0.25">
      <c r="A130" s="1"/>
      <c r="C130" s="1"/>
      <c r="D130" s="1"/>
      <c r="E130" s="1"/>
      <c r="F130" s="1"/>
      <c r="G130" s="1"/>
      <c r="H130" s="1"/>
      <c r="I130" s="1"/>
    </row>
    <row r="131" spans="1:9" x14ac:dyDescent="0.25">
      <c r="A131" s="1"/>
      <c r="C131" s="1"/>
      <c r="D131" s="1"/>
      <c r="E131" s="1"/>
      <c r="F131" s="1"/>
      <c r="G131" s="1"/>
      <c r="H131" s="1"/>
      <c r="I131" s="1"/>
    </row>
    <row r="132" spans="1:9" x14ac:dyDescent="0.25">
      <c r="A132" s="1"/>
      <c r="C132" s="1"/>
      <c r="D132" s="1"/>
      <c r="E132" s="1"/>
      <c r="F132" s="1"/>
      <c r="G132" s="1"/>
      <c r="H132" s="1"/>
      <c r="I132" s="1"/>
    </row>
    <row r="133" spans="1:9" x14ac:dyDescent="0.25">
      <c r="A133" s="1"/>
      <c r="C133" s="1"/>
      <c r="D133" s="1"/>
      <c r="E133" s="1"/>
      <c r="F133" s="1"/>
      <c r="G133" s="1"/>
      <c r="H133" s="1"/>
      <c r="I133" s="1"/>
    </row>
    <row r="134" spans="1:9" x14ac:dyDescent="0.25">
      <c r="A134" s="1"/>
      <c r="C134" s="1"/>
      <c r="D134" s="1"/>
      <c r="E134" s="1"/>
      <c r="F134" s="1"/>
      <c r="G134" s="1"/>
      <c r="H134" s="1"/>
      <c r="I134" s="1"/>
    </row>
    <row r="135" spans="1:9" x14ac:dyDescent="0.25">
      <c r="A135" s="1"/>
      <c r="C135" s="1"/>
      <c r="D135" s="1"/>
      <c r="E135" s="1"/>
      <c r="F135" s="1"/>
      <c r="G135" s="1"/>
      <c r="H135" s="1"/>
      <c r="I135" s="1"/>
    </row>
    <row r="136" spans="1:9" x14ac:dyDescent="0.25">
      <c r="A136" s="1"/>
      <c r="C136" s="1"/>
      <c r="D136" s="1"/>
      <c r="E136" s="1"/>
      <c r="F136" s="1"/>
      <c r="G136" s="1"/>
      <c r="H136" s="1"/>
      <c r="I136" s="1"/>
    </row>
    <row r="137" spans="1:9" x14ac:dyDescent="0.25">
      <c r="A137" s="1"/>
      <c r="C137" s="1"/>
      <c r="D137" s="1"/>
      <c r="E137" s="1"/>
      <c r="F137" s="1"/>
      <c r="G137" s="1"/>
      <c r="H137" s="1"/>
      <c r="I137" s="1"/>
    </row>
    <row r="138" spans="1:9" x14ac:dyDescent="0.25">
      <c r="A138" s="1"/>
      <c r="C138" s="1"/>
      <c r="D138" s="1"/>
      <c r="E138" s="1"/>
      <c r="F138" s="1"/>
      <c r="G138" s="1"/>
      <c r="H138" s="1"/>
      <c r="I138" s="1"/>
    </row>
    <row r="139" spans="1:9" x14ac:dyDescent="0.25">
      <c r="A139" s="1"/>
      <c r="C139" s="1"/>
      <c r="D139" s="1"/>
      <c r="E139" s="1"/>
      <c r="F139" s="1"/>
      <c r="G139" s="1"/>
      <c r="H139" s="1"/>
      <c r="I139" s="1"/>
    </row>
    <row r="140" spans="1:9" x14ac:dyDescent="0.25">
      <c r="A140" s="1"/>
      <c r="C140" s="1"/>
      <c r="D140" s="1"/>
      <c r="E140" s="1"/>
      <c r="F140" s="1"/>
      <c r="G140" s="1"/>
      <c r="H140" s="1"/>
      <c r="I140" s="1"/>
    </row>
    <row r="141" spans="1:9" x14ac:dyDescent="0.25">
      <c r="A141" s="1"/>
      <c r="C141" s="1"/>
      <c r="D141" s="1"/>
      <c r="E141" s="1"/>
      <c r="F141" s="1"/>
      <c r="G141" s="1"/>
      <c r="H141" s="1"/>
      <c r="I141" s="1"/>
    </row>
    <row r="142" spans="1:9" x14ac:dyDescent="0.25">
      <c r="A142" s="1"/>
      <c r="C142" s="1"/>
      <c r="D142" s="1"/>
      <c r="E142" s="1"/>
      <c r="F142" s="1"/>
      <c r="G142" s="1"/>
      <c r="H142" s="1"/>
      <c r="I142" s="1"/>
    </row>
    <row r="143" spans="1:9" x14ac:dyDescent="0.25">
      <c r="A143" s="1"/>
      <c r="C143" s="1"/>
      <c r="D143" s="1"/>
      <c r="E143" s="1"/>
      <c r="F143" s="1"/>
      <c r="G143" s="1"/>
      <c r="H143" s="1"/>
      <c r="I143" s="1"/>
    </row>
    <row r="144" spans="1:9" x14ac:dyDescent="0.25">
      <c r="A144" s="1"/>
      <c r="C144" s="1"/>
      <c r="D144" s="1"/>
      <c r="E144" s="1"/>
      <c r="F144" s="1"/>
      <c r="G144" s="1"/>
      <c r="H144" s="1"/>
      <c r="I144" s="1"/>
    </row>
    <row r="145" spans="1:9" x14ac:dyDescent="0.25">
      <c r="A145" s="1"/>
      <c r="C145" s="1"/>
      <c r="D145" s="1"/>
      <c r="E145" s="1"/>
      <c r="F145" s="1"/>
      <c r="G145" s="1"/>
      <c r="H145" s="1"/>
      <c r="I145" s="1"/>
    </row>
    <row r="146" spans="1:9" x14ac:dyDescent="0.25">
      <c r="A146" s="1"/>
      <c r="C146" s="1"/>
      <c r="D146" s="1"/>
      <c r="E146" s="1"/>
      <c r="F146" s="1"/>
      <c r="G146" s="1"/>
      <c r="H146" s="1"/>
      <c r="I146" s="1"/>
    </row>
    <row r="147" spans="1:9" x14ac:dyDescent="0.25">
      <c r="A147" s="1"/>
      <c r="C147" s="1"/>
      <c r="D147" s="1"/>
      <c r="E147" s="1"/>
      <c r="F147" s="1"/>
      <c r="G147" s="1"/>
      <c r="H147" s="1"/>
      <c r="I147" s="1"/>
    </row>
    <row r="148" spans="1:9" x14ac:dyDescent="0.25">
      <c r="A148" s="1"/>
      <c r="C148" s="1"/>
      <c r="D148" s="1"/>
      <c r="E148" s="1"/>
      <c r="F148" s="1"/>
      <c r="G148" s="1"/>
      <c r="H148" s="1"/>
      <c r="I148" s="1"/>
    </row>
    <row r="149" spans="1:9" x14ac:dyDescent="0.25">
      <c r="A149" s="1"/>
      <c r="C149" s="1"/>
      <c r="D149" s="1"/>
      <c r="E149" s="1"/>
      <c r="F149" s="1"/>
      <c r="G149" s="1"/>
      <c r="H149" s="1"/>
      <c r="I149" s="1"/>
    </row>
    <row r="150" spans="1:9" x14ac:dyDescent="0.25">
      <c r="A150" s="1"/>
      <c r="C150" s="1"/>
      <c r="D150" s="1"/>
      <c r="E150" s="1"/>
      <c r="F150" s="1"/>
      <c r="G150" s="1"/>
      <c r="H150" s="1"/>
      <c r="I150" s="1"/>
    </row>
    <row r="151" spans="1:9" x14ac:dyDescent="0.25">
      <c r="A151" s="1"/>
      <c r="C151" s="1"/>
      <c r="D151" s="1"/>
      <c r="E151" s="1"/>
      <c r="F151" s="1"/>
      <c r="G151" s="1"/>
      <c r="H151" s="1"/>
      <c r="I151" s="1"/>
    </row>
    <row r="152" spans="1:9" x14ac:dyDescent="0.25">
      <c r="A152" s="1"/>
      <c r="C152" s="1"/>
      <c r="D152" s="1"/>
      <c r="E152" s="1"/>
      <c r="F152" s="1"/>
      <c r="G152" s="1"/>
      <c r="H152" s="1"/>
      <c r="I152" s="1"/>
    </row>
    <row r="153" spans="1:9" x14ac:dyDescent="0.25">
      <c r="A153" s="1"/>
      <c r="C153" s="1"/>
      <c r="D153" s="1"/>
      <c r="E153" s="1"/>
      <c r="F153" s="1"/>
      <c r="G153" s="1"/>
      <c r="H153" s="1"/>
      <c r="I153" s="1"/>
    </row>
    <row r="154" spans="1:9" x14ac:dyDescent="0.25">
      <c r="A154" s="1"/>
      <c r="C154" s="1"/>
      <c r="D154" s="1"/>
      <c r="E154" s="1"/>
      <c r="F154" s="1"/>
      <c r="G154" s="1"/>
      <c r="H154" s="1"/>
      <c r="I154" s="1"/>
    </row>
    <row r="155" spans="1:9" x14ac:dyDescent="0.25">
      <c r="A155" s="1"/>
      <c r="C155" s="1"/>
      <c r="D155" s="1"/>
      <c r="E155" s="1"/>
      <c r="F155" s="1"/>
      <c r="G155" s="1"/>
      <c r="H155" s="1"/>
      <c r="I155" s="1"/>
    </row>
    <row r="156" spans="1:9" x14ac:dyDescent="0.25">
      <c r="A156" s="1"/>
      <c r="C156" s="1"/>
      <c r="D156" s="1"/>
      <c r="E156" s="1"/>
      <c r="F156" s="1"/>
      <c r="G156" s="1"/>
      <c r="H156" s="1"/>
      <c r="I156" s="1"/>
    </row>
    <row r="157" spans="1:9" x14ac:dyDescent="0.25">
      <c r="A157" s="1"/>
      <c r="C157" s="1"/>
      <c r="D157" s="1"/>
      <c r="E157" s="1"/>
      <c r="F157" s="1"/>
      <c r="G157" s="1"/>
      <c r="H157" s="1"/>
      <c r="I157" s="1"/>
    </row>
    <row r="158" spans="1:9" x14ac:dyDescent="0.25">
      <c r="A158" s="1"/>
      <c r="C158" s="1"/>
      <c r="D158" s="1"/>
      <c r="E158" s="1"/>
      <c r="F158" s="1"/>
      <c r="G158" s="1"/>
      <c r="H158" s="1"/>
      <c r="I158" s="1"/>
    </row>
    <row r="159" spans="1:9" x14ac:dyDescent="0.25">
      <c r="A159" s="1"/>
      <c r="C159" s="1"/>
      <c r="D159" s="1"/>
      <c r="E159" s="1"/>
      <c r="F159" s="1"/>
      <c r="G159" s="1"/>
      <c r="H159" s="1"/>
      <c r="I159" s="1"/>
    </row>
    <row r="160" spans="1:9" x14ac:dyDescent="0.25">
      <c r="A160" s="1"/>
      <c r="C160" s="1"/>
      <c r="D160" s="1"/>
      <c r="E160" s="1"/>
      <c r="F160" s="1"/>
      <c r="G160" s="1"/>
      <c r="H160" s="1"/>
      <c r="I160" s="1"/>
    </row>
    <row r="161" spans="1:9" x14ac:dyDescent="0.25">
      <c r="A161" s="1"/>
      <c r="C161" s="1"/>
      <c r="D161" s="1"/>
      <c r="E161" s="1"/>
      <c r="F161" s="1"/>
      <c r="G161" s="1"/>
      <c r="H161" s="1"/>
      <c r="I161" s="1"/>
    </row>
    <row r="162" spans="1:9" x14ac:dyDescent="0.25">
      <c r="A162" s="1"/>
      <c r="C162" s="1"/>
      <c r="D162" s="1"/>
      <c r="E162" s="1"/>
      <c r="F162" s="1"/>
      <c r="G162" s="1"/>
      <c r="H162" s="1"/>
      <c r="I162" s="1"/>
    </row>
    <row r="163" spans="1:9" x14ac:dyDescent="0.25">
      <c r="A163" s="1"/>
      <c r="C163" s="1"/>
      <c r="D163" s="1"/>
      <c r="E163" s="1"/>
      <c r="F163" s="1"/>
      <c r="G163" s="1"/>
      <c r="H163" s="1"/>
      <c r="I163" s="1"/>
    </row>
    <row r="164" spans="1:9" x14ac:dyDescent="0.25">
      <c r="A164" s="1"/>
      <c r="C164" s="1"/>
      <c r="D164" s="1"/>
      <c r="E164" s="1"/>
      <c r="F164" s="1"/>
      <c r="G164" s="1"/>
      <c r="H164" s="1"/>
      <c r="I164" s="1"/>
    </row>
    <row r="165" spans="1:9" x14ac:dyDescent="0.25">
      <c r="A165" s="1"/>
      <c r="C165" s="1"/>
      <c r="D165" s="1"/>
      <c r="E165" s="1"/>
      <c r="F165" s="1"/>
      <c r="G165" s="1"/>
      <c r="H165" s="1"/>
      <c r="I165" s="1"/>
    </row>
    <row r="166" spans="1:9" x14ac:dyDescent="0.25">
      <c r="A166" s="1"/>
      <c r="C166" s="1"/>
      <c r="D166" s="1"/>
      <c r="E166" s="1"/>
      <c r="F166" s="1"/>
      <c r="G166" s="1"/>
      <c r="H166" s="1"/>
      <c r="I166" s="1"/>
    </row>
    <row r="167" spans="1:9" x14ac:dyDescent="0.25">
      <c r="A167" s="1"/>
      <c r="C167" s="1"/>
      <c r="D167" s="1"/>
      <c r="E167" s="1"/>
      <c r="F167" s="1"/>
      <c r="G167" s="1"/>
      <c r="H167" s="1"/>
      <c r="I167" s="1"/>
    </row>
    <row r="168" spans="1:9" x14ac:dyDescent="0.25">
      <c r="A168" s="1"/>
      <c r="C168" s="1"/>
      <c r="D168" s="1"/>
      <c r="E168" s="1"/>
      <c r="F168" s="1"/>
      <c r="G168" s="1"/>
      <c r="H168" s="1"/>
      <c r="I168" s="1"/>
    </row>
    <row r="169" spans="1:9" x14ac:dyDescent="0.25">
      <c r="A169" s="1"/>
      <c r="C169" s="1"/>
      <c r="D169" s="1"/>
      <c r="E169" s="1"/>
      <c r="F169" s="1"/>
      <c r="G169" s="1"/>
      <c r="H169" s="1"/>
      <c r="I169" s="1"/>
    </row>
    <row r="170" spans="1:9" x14ac:dyDescent="0.25">
      <c r="A170" s="1"/>
      <c r="C170" s="1"/>
      <c r="D170" s="1"/>
      <c r="E170" s="1"/>
      <c r="F170" s="1"/>
      <c r="G170" s="1"/>
      <c r="H170" s="1"/>
      <c r="I170" s="1"/>
    </row>
    <row r="171" spans="1:9" x14ac:dyDescent="0.25">
      <c r="A171" s="1"/>
      <c r="C171" s="1"/>
      <c r="D171" s="1"/>
      <c r="E171" s="1"/>
      <c r="F171" s="1"/>
      <c r="G171" s="1"/>
      <c r="H171" s="1"/>
      <c r="I171" s="1"/>
    </row>
    <row r="172" spans="1:9" x14ac:dyDescent="0.25">
      <c r="A172" s="1"/>
      <c r="C172" s="1"/>
      <c r="D172" s="1"/>
      <c r="E172" s="1"/>
      <c r="F172" s="1"/>
      <c r="G172" s="1"/>
      <c r="H172" s="1"/>
      <c r="I172" s="1"/>
    </row>
    <row r="173" spans="1:9" x14ac:dyDescent="0.25">
      <c r="A173" s="1"/>
      <c r="C173" s="1"/>
      <c r="D173" s="1"/>
      <c r="E173" s="1"/>
      <c r="F173" s="1"/>
      <c r="G173" s="1"/>
      <c r="H173" s="1"/>
      <c r="I173" s="1"/>
    </row>
    <row r="174" spans="1:9" x14ac:dyDescent="0.25">
      <c r="A174" s="1"/>
      <c r="C174" s="1"/>
      <c r="D174" s="1"/>
      <c r="E174" s="1"/>
      <c r="F174" s="1"/>
      <c r="G174" s="1"/>
      <c r="H174" s="1"/>
      <c r="I174" s="1"/>
    </row>
    <row r="175" spans="1:9" x14ac:dyDescent="0.25">
      <c r="A175" s="1"/>
      <c r="C175" s="1"/>
      <c r="D175" s="1"/>
      <c r="E175" s="1"/>
      <c r="F175" s="1"/>
      <c r="G175" s="1"/>
      <c r="H175" s="1"/>
      <c r="I175" s="1"/>
    </row>
    <row r="176" spans="1:9" x14ac:dyDescent="0.25">
      <c r="A176" s="1"/>
      <c r="C176" s="1"/>
      <c r="D176" s="1"/>
      <c r="E176" s="1"/>
      <c r="F176" s="1"/>
      <c r="G176" s="1"/>
      <c r="H176" s="1"/>
      <c r="I176" s="1"/>
    </row>
    <row r="177" spans="1:9" x14ac:dyDescent="0.25">
      <c r="A177" s="1"/>
      <c r="C177" s="1"/>
      <c r="D177" s="1"/>
      <c r="E177" s="1"/>
      <c r="F177" s="1"/>
      <c r="G177" s="1"/>
      <c r="H177" s="1"/>
      <c r="I177" s="1"/>
    </row>
    <row r="178" spans="1:9" x14ac:dyDescent="0.25">
      <c r="A178" s="1"/>
      <c r="C178" s="1"/>
      <c r="D178" s="1"/>
      <c r="E178" s="1"/>
      <c r="F178" s="1"/>
      <c r="G178" s="1"/>
      <c r="H178" s="1"/>
      <c r="I178" s="1"/>
    </row>
    <row r="179" spans="1:9" x14ac:dyDescent="0.25">
      <c r="A179" s="1"/>
      <c r="C179" s="1"/>
      <c r="D179" s="1"/>
      <c r="E179" s="1"/>
      <c r="F179" s="1"/>
      <c r="G179" s="1"/>
      <c r="H179" s="1"/>
      <c r="I179" s="1"/>
    </row>
    <row r="180" spans="1:9" x14ac:dyDescent="0.25">
      <c r="A180" s="1"/>
      <c r="C180" s="1"/>
      <c r="D180" s="1"/>
      <c r="E180" s="1"/>
      <c r="F180" s="1"/>
      <c r="G180" s="1"/>
      <c r="H180" s="1"/>
      <c r="I180" s="1"/>
    </row>
    <row r="181" spans="1:9" x14ac:dyDescent="0.25">
      <c r="A181" s="1"/>
      <c r="C181" s="1"/>
      <c r="D181" s="1"/>
      <c r="E181" s="1"/>
      <c r="F181" s="1"/>
      <c r="G181" s="1"/>
      <c r="H181" s="1"/>
      <c r="I181" s="1"/>
    </row>
    <row r="182" spans="1:9" x14ac:dyDescent="0.25">
      <c r="A182" s="1"/>
      <c r="C182" s="1"/>
      <c r="D182" s="1"/>
      <c r="E182" s="1"/>
      <c r="F182" s="1"/>
      <c r="G182" s="1"/>
      <c r="H182" s="1"/>
      <c r="I182" s="1"/>
    </row>
    <row r="183" spans="1:9" x14ac:dyDescent="0.25">
      <c r="A183" s="1"/>
      <c r="C183" s="1"/>
      <c r="D183" s="1"/>
      <c r="E183" s="1"/>
      <c r="F183" s="1"/>
      <c r="G183" s="1"/>
      <c r="H183" s="1"/>
      <c r="I183" s="1"/>
    </row>
    <row r="184" spans="1:9" x14ac:dyDescent="0.25">
      <c r="A184" s="1"/>
      <c r="C184" s="1"/>
      <c r="D184" s="1"/>
      <c r="E184" s="1"/>
      <c r="F184" s="1"/>
      <c r="G184" s="1"/>
      <c r="H184" s="1"/>
      <c r="I184" s="1"/>
    </row>
    <row r="185" spans="1:9" x14ac:dyDescent="0.25">
      <c r="A185" s="1"/>
      <c r="C185" s="1"/>
      <c r="D185" s="1"/>
      <c r="E185" s="1"/>
      <c r="F185" s="1"/>
      <c r="G185" s="1"/>
      <c r="H185" s="1"/>
      <c r="I185" s="1"/>
    </row>
    <row r="186" spans="1:9" x14ac:dyDescent="0.25">
      <c r="A186" s="1"/>
      <c r="C186" s="1"/>
      <c r="D186" s="1"/>
      <c r="E186" s="1"/>
      <c r="F186" s="1"/>
      <c r="G186" s="1"/>
      <c r="H186" s="1"/>
      <c r="I186" s="1"/>
    </row>
    <row r="187" spans="1:9" x14ac:dyDescent="0.25">
      <c r="A187" s="1"/>
      <c r="C187" s="1"/>
      <c r="D187" s="1"/>
      <c r="E187" s="1"/>
      <c r="F187" s="1"/>
      <c r="G187" s="1"/>
      <c r="H187" s="1"/>
      <c r="I187" s="1"/>
    </row>
    <row r="188" spans="1:9" x14ac:dyDescent="0.25">
      <c r="A188" s="1"/>
      <c r="C188" s="1"/>
      <c r="D188" s="1"/>
      <c r="E188" s="1"/>
      <c r="F188" s="1"/>
      <c r="G188" s="1"/>
      <c r="H188" s="1"/>
      <c r="I188" s="1"/>
    </row>
    <row r="189" spans="1:9" x14ac:dyDescent="0.25">
      <c r="A189" s="1"/>
      <c r="C189" s="1"/>
      <c r="D189" s="1"/>
      <c r="E189" s="1"/>
      <c r="F189" s="1"/>
      <c r="G189" s="1"/>
      <c r="H189" s="1"/>
      <c r="I189" s="1"/>
    </row>
    <row r="190" spans="1:9" x14ac:dyDescent="0.25">
      <c r="A190" s="1"/>
      <c r="C190" s="1"/>
      <c r="D190" s="1"/>
      <c r="E190" s="1"/>
      <c r="F190" s="1"/>
      <c r="G190" s="1"/>
      <c r="H190" s="1"/>
      <c r="I190" s="1"/>
    </row>
    <row r="191" spans="1:9" x14ac:dyDescent="0.25">
      <c r="A191" s="1"/>
      <c r="C191" s="1"/>
      <c r="D191" s="1"/>
      <c r="E191" s="1"/>
      <c r="F191" s="1"/>
      <c r="G191" s="1"/>
      <c r="H191" s="1"/>
      <c r="I191" s="1"/>
    </row>
    <row r="192" spans="1:9" x14ac:dyDescent="0.25">
      <c r="A192" s="1"/>
      <c r="C192" s="1"/>
      <c r="D192" s="1"/>
      <c r="E192" s="1"/>
      <c r="F192" s="1"/>
      <c r="G192" s="1"/>
      <c r="H192" s="1"/>
      <c r="I192" s="1"/>
    </row>
    <row r="193" spans="1:9" x14ac:dyDescent="0.25">
      <c r="A193" s="1"/>
      <c r="C193" s="1"/>
      <c r="D193" s="1"/>
      <c r="E193" s="1"/>
      <c r="F193" s="1"/>
      <c r="G193" s="1"/>
      <c r="H193" s="1"/>
      <c r="I193" s="1"/>
    </row>
    <row r="194" spans="1:9" x14ac:dyDescent="0.25">
      <c r="A194" s="1"/>
      <c r="C194" s="1"/>
      <c r="D194" s="1"/>
      <c r="E194" s="1"/>
      <c r="F194" s="1"/>
      <c r="G194" s="1"/>
      <c r="H194" s="1"/>
      <c r="I194" s="1"/>
    </row>
    <row r="195" spans="1:9" x14ac:dyDescent="0.25">
      <c r="A195" s="1"/>
      <c r="C195" s="1"/>
      <c r="D195" s="1"/>
      <c r="E195" s="1"/>
      <c r="F195" s="1"/>
      <c r="G195" s="1"/>
      <c r="H195" s="1"/>
      <c r="I195" s="1"/>
    </row>
    <row r="196" spans="1:9" x14ac:dyDescent="0.25">
      <c r="A196" s="1"/>
      <c r="C196" s="1"/>
      <c r="D196" s="1"/>
      <c r="E196" s="1"/>
      <c r="F196" s="1"/>
      <c r="G196" s="1"/>
      <c r="H196" s="1"/>
      <c r="I196" s="1"/>
    </row>
  </sheetData>
  <phoneticPr fontId="6"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8B3D5-D26E-4F7D-861D-C4CA84728A82}">
  <sheetPr codeName="Sheet7"/>
  <dimension ref="A1:Y2845"/>
  <sheetViews>
    <sheetView workbookViewId="0">
      <selection activeCell="A2" sqref="A2"/>
    </sheetView>
  </sheetViews>
  <sheetFormatPr defaultRowHeight="15" x14ac:dyDescent="0.25"/>
  <cols>
    <col min="1" max="2" width="18.28515625" customWidth="1"/>
    <col min="3" max="4" width="18.28515625" style="13" customWidth="1"/>
    <col min="5" max="5" width="35" bestFit="1" customWidth="1"/>
    <col min="6" max="8" width="5.7109375" hidden="1" customWidth="1"/>
    <col min="9" max="25" width="18.28515625" customWidth="1"/>
  </cols>
  <sheetData>
    <row r="1" spans="1:25" x14ac:dyDescent="0.25">
      <c r="A1" t="s">
        <v>514</v>
      </c>
      <c r="B1" t="s">
        <v>21</v>
      </c>
      <c r="C1" t="s">
        <v>22</v>
      </c>
      <c r="D1" t="s">
        <v>23</v>
      </c>
      <c r="E1" t="s">
        <v>370</v>
      </c>
      <c r="F1" t="s">
        <v>515</v>
      </c>
      <c r="G1" t="s">
        <v>516</v>
      </c>
      <c r="H1" t="s">
        <v>517</v>
      </c>
      <c r="I1" t="s">
        <v>80</v>
      </c>
      <c r="J1" t="s">
        <v>518</v>
      </c>
      <c r="K1" t="s">
        <v>519</v>
      </c>
      <c r="L1" t="s">
        <v>520</v>
      </c>
      <c r="M1" t="s">
        <v>12</v>
      </c>
      <c r="N1" t="s">
        <v>13</v>
      </c>
      <c r="O1" t="s">
        <v>14</v>
      </c>
      <c r="P1" t="s">
        <v>15</v>
      </c>
      <c r="Q1" t="s">
        <v>16</v>
      </c>
      <c r="R1" t="s">
        <v>521</v>
      </c>
      <c r="S1" t="s">
        <v>522</v>
      </c>
      <c r="T1" t="s">
        <v>523</v>
      </c>
      <c r="U1" t="s">
        <v>1</v>
      </c>
      <c r="V1" t="s">
        <v>524</v>
      </c>
      <c r="W1" t="s">
        <v>525</v>
      </c>
      <c r="X1" t="s">
        <v>526</v>
      </c>
      <c r="Y1" t="s">
        <v>70</v>
      </c>
    </row>
    <row r="2" spans="1:25" x14ac:dyDescent="0.25">
      <c r="A2" t="e">
        <f>IF(B2&lt;&gt;"","Epic",IF(AND(H2="Lesson Title",C2&lt;&gt;""),"Feature",IF(D2&lt;&gt;"","Requirement ","Error")))</f>
        <v>#REF!</v>
      </c>
      <c r="B2" t="e">
        <f>Course_Code</f>
        <v>#REF!</v>
      </c>
      <c r="C2"/>
      <c r="D2"/>
      <c r="J2" t="e">
        <f t="shared" ref="J2" si="0">Course_Title</f>
        <v>#REF!</v>
      </c>
      <c r="K2" t="e">
        <f>Course_Description</f>
        <v>#REF!</v>
      </c>
      <c r="L2" t="e">
        <f>Communication</f>
        <v>#REF!</v>
      </c>
      <c r="M2" t="e">
        <f>#REF!</f>
        <v>#REF!</v>
      </c>
      <c r="N2" t="e">
        <f>#REF!</f>
        <v>#REF!</v>
      </c>
      <c r="O2" t="e">
        <f>#REF!</f>
        <v>#REF!</v>
      </c>
      <c r="P2" t="e">
        <f>#REF!</f>
        <v>#REF!</v>
      </c>
      <c r="Q2" t="e">
        <f>#REF!</f>
        <v>#REF!</v>
      </c>
      <c r="R2" t="e">
        <f>IF(#REF!&lt;&gt;0,#REF!,"")</f>
        <v>#REF!</v>
      </c>
      <c r="S2" t="e">
        <f>IF(#REF!&lt;&gt;0,#REF!,"")</f>
        <v>#REF!</v>
      </c>
      <c r="T2" t="e">
        <f>#REF!</f>
        <v>#REF!</v>
      </c>
      <c r="U2" t="e">
        <f>Type</f>
        <v>#REF!</v>
      </c>
      <c r="V2" t="e">
        <f>New_Content_Creation_Correct</f>
        <v>#REF!</v>
      </c>
      <c r="W2" s="21" t="e">
        <f>Start</f>
        <v>#REF!</v>
      </c>
      <c r="X2" s="21" t="e">
        <f>target</f>
        <v>#REF!</v>
      </c>
      <c r="Y2" t="e">
        <f>#REF!</f>
        <v>#REF!</v>
      </c>
    </row>
    <row r="3" spans="1:25" x14ac:dyDescent="0.25">
      <c r="C3"/>
      <c r="D3"/>
    </row>
    <row r="4" spans="1:25" x14ac:dyDescent="0.25">
      <c r="C4"/>
      <c r="D4"/>
    </row>
    <row r="5" spans="1:25" x14ac:dyDescent="0.25">
      <c r="C5"/>
      <c r="D5"/>
    </row>
    <row r="6" spans="1:25" x14ac:dyDescent="0.25">
      <c r="C6"/>
      <c r="D6"/>
    </row>
    <row r="7" spans="1:25" x14ac:dyDescent="0.25">
      <c r="C7"/>
      <c r="D7"/>
    </row>
    <row r="8" spans="1:25" x14ac:dyDescent="0.25">
      <c r="C8"/>
      <c r="D8"/>
    </row>
    <row r="9" spans="1:25" x14ac:dyDescent="0.25">
      <c r="C9"/>
      <c r="D9"/>
    </row>
    <row r="10" spans="1:25" x14ac:dyDescent="0.25">
      <c r="C10"/>
      <c r="D10"/>
    </row>
    <row r="11" spans="1:25" x14ac:dyDescent="0.25">
      <c r="C11"/>
      <c r="D11"/>
    </row>
    <row r="12" spans="1:25" x14ac:dyDescent="0.25">
      <c r="C12"/>
      <c r="D12"/>
    </row>
    <row r="13" spans="1:25" x14ac:dyDescent="0.25">
      <c r="C13"/>
      <c r="D13"/>
    </row>
    <row r="14" spans="1:25" x14ac:dyDescent="0.25">
      <c r="C14"/>
      <c r="D14"/>
    </row>
    <row r="15" spans="1:25" x14ac:dyDescent="0.25">
      <c r="C15"/>
      <c r="D15"/>
    </row>
    <row r="16" spans="1:25" x14ac:dyDescent="0.25">
      <c r="C16"/>
      <c r="D16"/>
    </row>
    <row r="17" spans="3:4" x14ac:dyDescent="0.25">
      <c r="C17"/>
      <c r="D17"/>
    </row>
    <row r="18" spans="3:4" x14ac:dyDescent="0.25">
      <c r="C18"/>
      <c r="D18"/>
    </row>
    <row r="19" spans="3:4" x14ac:dyDescent="0.25">
      <c r="C19"/>
      <c r="D19"/>
    </row>
    <row r="20" spans="3:4" x14ac:dyDescent="0.25">
      <c r="C20"/>
      <c r="D20"/>
    </row>
    <row r="21" spans="3:4" x14ac:dyDescent="0.25">
      <c r="C21"/>
      <c r="D21"/>
    </row>
    <row r="22" spans="3:4" x14ac:dyDescent="0.25">
      <c r="C22"/>
      <c r="D22"/>
    </row>
    <row r="23" spans="3:4" x14ac:dyDescent="0.25">
      <c r="C23"/>
      <c r="D23"/>
    </row>
    <row r="24" spans="3:4" x14ac:dyDescent="0.25">
      <c r="C24"/>
      <c r="D24"/>
    </row>
    <row r="25" spans="3:4" x14ac:dyDescent="0.25">
      <c r="C25"/>
      <c r="D25"/>
    </row>
    <row r="26" spans="3:4" x14ac:dyDescent="0.25">
      <c r="C26"/>
      <c r="D26"/>
    </row>
    <row r="27" spans="3:4" x14ac:dyDescent="0.25">
      <c r="C27"/>
      <c r="D27"/>
    </row>
    <row r="28" spans="3:4" x14ac:dyDescent="0.25">
      <c r="C28"/>
      <c r="D28"/>
    </row>
    <row r="29" spans="3:4" x14ac:dyDescent="0.25">
      <c r="C29"/>
      <c r="D29"/>
    </row>
    <row r="30" spans="3:4" x14ac:dyDescent="0.25">
      <c r="C30"/>
      <c r="D30"/>
    </row>
    <row r="31" spans="3:4" x14ac:dyDescent="0.25">
      <c r="C31"/>
      <c r="D31"/>
    </row>
    <row r="32" spans="3:4" x14ac:dyDescent="0.25">
      <c r="C32"/>
      <c r="D32"/>
    </row>
    <row r="33" spans="3:4" x14ac:dyDescent="0.25">
      <c r="C33"/>
      <c r="D33"/>
    </row>
    <row r="34" spans="3:4" x14ac:dyDescent="0.25">
      <c r="C34"/>
      <c r="D34"/>
    </row>
    <row r="35" spans="3:4" x14ac:dyDescent="0.25">
      <c r="C35"/>
      <c r="D35"/>
    </row>
    <row r="36" spans="3:4" x14ac:dyDescent="0.25">
      <c r="C36"/>
      <c r="D36"/>
    </row>
    <row r="37" spans="3:4" x14ac:dyDescent="0.25">
      <c r="C37"/>
      <c r="D37"/>
    </row>
    <row r="38" spans="3:4" x14ac:dyDescent="0.25">
      <c r="C38"/>
      <c r="D38"/>
    </row>
    <row r="39" spans="3:4" x14ac:dyDescent="0.25">
      <c r="C39"/>
      <c r="D39"/>
    </row>
    <row r="40" spans="3:4" x14ac:dyDescent="0.25">
      <c r="C40"/>
      <c r="D40"/>
    </row>
    <row r="41" spans="3:4" x14ac:dyDescent="0.25">
      <c r="C41"/>
      <c r="D41"/>
    </row>
    <row r="42" spans="3:4" x14ac:dyDescent="0.25">
      <c r="C42"/>
      <c r="D42"/>
    </row>
    <row r="43" spans="3:4" x14ac:dyDescent="0.25">
      <c r="C43"/>
      <c r="D43"/>
    </row>
    <row r="44" spans="3:4" x14ac:dyDescent="0.25">
      <c r="C44"/>
      <c r="D44"/>
    </row>
    <row r="45" spans="3:4" x14ac:dyDescent="0.25">
      <c r="C45"/>
      <c r="D45"/>
    </row>
    <row r="46" spans="3:4" x14ac:dyDescent="0.25">
      <c r="C46"/>
      <c r="D46"/>
    </row>
    <row r="47" spans="3:4" x14ac:dyDescent="0.25">
      <c r="C47"/>
      <c r="D47"/>
    </row>
    <row r="48" spans="3:4" x14ac:dyDescent="0.25">
      <c r="C48"/>
      <c r="D48"/>
    </row>
    <row r="49" spans="3:4" x14ac:dyDescent="0.25">
      <c r="C49"/>
      <c r="D49"/>
    </row>
    <row r="50" spans="3:4" x14ac:dyDescent="0.25">
      <c r="C50"/>
      <c r="D50"/>
    </row>
    <row r="51" spans="3:4" x14ac:dyDescent="0.25">
      <c r="C51"/>
      <c r="D51"/>
    </row>
    <row r="52" spans="3:4" x14ac:dyDescent="0.25">
      <c r="C52"/>
      <c r="D52"/>
    </row>
    <row r="53" spans="3:4" x14ac:dyDescent="0.25">
      <c r="C53"/>
      <c r="D53"/>
    </row>
    <row r="54" spans="3:4" x14ac:dyDescent="0.25">
      <c r="C54"/>
      <c r="D54"/>
    </row>
    <row r="55" spans="3:4" x14ac:dyDescent="0.25">
      <c r="C55"/>
      <c r="D55"/>
    </row>
    <row r="56" spans="3:4" x14ac:dyDescent="0.25">
      <c r="C56"/>
      <c r="D56"/>
    </row>
    <row r="57" spans="3:4" x14ac:dyDescent="0.25">
      <c r="C57"/>
      <c r="D57"/>
    </row>
    <row r="58" spans="3:4" x14ac:dyDescent="0.25">
      <c r="C58"/>
      <c r="D58"/>
    </row>
    <row r="59" spans="3:4" x14ac:dyDescent="0.25">
      <c r="C59"/>
      <c r="D59"/>
    </row>
    <row r="60" spans="3:4" x14ac:dyDescent="0.25">
      <c r="C60"/>
      <c r="D60"/>
    </row>
    <row r="61" spans="3:4" x14ac:dyDescent="0.25">
      <c r="C61"/>
      <c r="D61"/>
    </row>
    <row r="62" spans="3:4" x14ac:dyDescent="0.25">
      <c r="C62"/>
      <c r="D62"/>
    </row>
    <row r="63" spans="3:4" x14ac:dyDescent="0.25">
      <c r="C63"/>
      <c r="D63"/>
    </row>
    <row r="64" spans="3:4" x14ac:dyDescent="0.25">
      <c r="C64"/>
      <c r="D64"/>
    </row>
    <row r="65" spans="3:4" x14ac:dyDescent="0.25">
      <c r="C65"/>
      <c r="D65"/>
    </row>
    <row r="66" spans="3:4" x14ac:dyDescent="0.25">
      <c r="C66"/>
      <c r="D66"/>
    </row>
    <row r="67" spans="3:4" x14ac:dyDescent="0.25">
      <c r="C67"/>
      <c r="D67"/>
    </row>
    <row r="68" spans="3:4" x14ac:dyDescent="0.25">
      <c r="C68"/>
      <c r="D68"/>
    </row>
    <row r="69" spans="3:4" x14ac:dyDescent="0.25">
      <c r="C69"/>
      <c r="D69"/>
    </row>
    <row r="70" spans="3:4" x14ac:dyDescent="0.25">
      <c r="C70"/>
      <c r="D70"/>
    </row>
    <row r="71" spans="3:4" x14ac:dyDescent="0.25">
      <c r="C71"/>
      <c r="D71"/>
    </row>
    <row r="72" spans="3:4" x14ac:dyDescent="0.25">
      <c r="C72"/>
      <c r="D72"/>
    </row>
    <row r="73" spans="3:4" x14ac:dyDescent="0.25">
      <c r="C73"/>
      <c r="D73"/>
    </row>
    <row r="74" spans="3:4" x14ac:dyDescent="0.25">
      <c r="C74"/>
      <c r="D74"/>
    </row>
    <row r="75" spans="3:4" x14ac:dyDescent="0.25">
      <c r="C75"/>
      <c r="D75"/>
    </row>
    <row r="76" spans="3:4" x14ac:dyDescent="0.25">
      <c r="C76"/>
      <c r="D76"/>
    </row>
    <row r="77" spans="3:4" x14ac:dyDescent="0.25">
      <c r="C77"/>
      <c r="D77"/>
    </row>
    <row r="78" spans="3:4" x14ac:dyDescent="0.25">
      <c r="C78"/>
      <c r="D78"/>
    </row>
    <row r="79" spans="3:4" x14ac:dyDescent="0.25">
      <c r="C79"/>
      <c r="D79"/>
    </row>
    <row r="80" spans="3:4" x14ac:dyDescent="0.25">
      <c r="C80"/>
      <c r="D80"/>
    </row>
    <row r="81" spans="3:4" x14ac:dyDescent="0.25">
      <c r="C81"/>
      <c r="D81"/>
    </row>
    <row r="82" spans="3:4" x14ac:dyDescent="0.25">
      <c r="C82"/>
      <c r="D82"/>
    </row>
    <row r="83" spans="3:4" x14ac:dyDescent="0.25">
      <c r="C83"/>
      <c r="D83"/>
    </row>
    <row r="84" spans="3:4" x14ac:dyDescent="0.25">
      <c r="C84"/>
      <c r="D84"/>
    </row>
    <row r="85" spans="3:4" x14ac:dyDescent="0.25">
      <c r="C85"/>
      <c r="D85"/>
    </row>
    <row r="86" spans="3:4" x14ac:dyDescent="0.25">
      <c r="C86"/>
      <c r="D86"/>
    </row>
    <row r="87" spans="3:4" x14ac:dyDescent="0.25">
      <c r="C87"/>
      <c r="D87"/>
    </row>
    <row r="88" spans="3:4" x14ac:dyDescent="0.25">
      <c r="C88"/>
      <c r="D88"/>
    </row>
    <row r="89" spans="3:4" x14ac:dyDescent="0.25">
      <c r="C89"/>
      <c r="D89"/>
    </row>
    <row r="90" spans="3:4" x14ac:dyDescent="0.25">
      <c r="C90"/>
      <c r="D90"/>
    </row>
    <row r="91" spans="3:4" x14ac:dyDescent="0.25">
      <c r="C91"/>
      <c r="D91"/>
    </row>
    <row r="92" spans="3:4" x14ac:dyDescent="0.25">
      <c r="C92"/>
      <c r="D92"/>
    </row>
    <row r="93" spans="3:4" x14ac:dyDescent="0.25">
      <c r="C93"/>
      <c r="D93"/>
    </row>
    <row r="94" spans="3:4" x14ac:dyDescent="0.25">
      <c r="C94"/>
      <c r="D94"/>
    </row>
    <row r="95" spans="3:4" x14ac:dyDescent="0.25">
      <c r="C95"/>
      <c r="D95"/>
    </row>
    <row r="96" spans="3:4" x14ac:dyDescent="0.25">
      <c r="C96"/>
      <c r="D96"/>
    </row>
    <row r="97" spans="3:4" x14ac:dyDescent="0.25">
      <c r="C97"/>
      <c r="D97"/>
    </row>
    <row r="98" spans="3:4" x14ac:dyDescent="0.25">
      <c r="C98"/>
      <c r="D98"/>
    </row>
    <row r="99" spans="3:4" x14ac:dyDescent="0.25">
      <c r="C99"/>
      <c r="D99"/>
    </row>
    <row r="100" spans="3:4" x14ac:dyDescent="0.25">
      <c r="C100"/>
      <c r="D100"/>
    </row>
    <row r="101" spans="3:4" x14ac:dyDescent="0.25">
      <c r="C101"/>
      <c r="D101"/>
    </row>
    <row r="102" spans="3:4" x14ac:dyDescent="0.25">
      <c r="C102"/>
      <c r="D102"/>
    </row>
    <row r="103" spans="3:4" x14ac:dyDescent="0.25">
      <c r="C103"/>
      <c r="D103"/>
    </row>
    <row r="104" spans="3:4" x14ac:dyDescent="0.25">
      <c r="C104"/>
      <c r="D104"/>
    </row>
    <row r="105" spans="3:4" x14ac:dyDescent="0.25">
      <c r="C105"/>
      <c r="D105"/>
    </row>
    <row r="106" spans="3:4" x14ac:dyDescent="0.25">
      <c r="C106"/>
      <c r="D106"/>
    </row>
    <row r="107" spans="3:4" x14ac:dyDescent="0.25">
      <c r="C107"/>
      <c r="D107"/>
    </row>
    <row r="108" spans="3:4" x14ac:dyDescent="0.25">
      <c r="C108"/>
      <c r="D108"/>
    </row>
    <row r="109" spans="3:4" x14ac:dyDescent="0.25">
      <c r="C109"/>
      <c r="D109"/>
    </row>
    <row r="110" spans="3:4" x14ac:dyDescent="0.25">
      <c r="C110"/>
      <c r="D110"/>
    </row>
    <row r="111" spans="3:4" x14ac:dyDescent="0.25">
      <c r="C111"/>
      <c r="D111"/>
    </row>
    <row r="112" spans="3:4" x14ac:dyDescent="0.25">
      <c r="C112"/>
      <c r="D112"/>
    </row>
    <row r="113" spans="3:4" x14ac:dyDescent="0.25">
      <c r="C113"/>
      <c r="D113"/>
    </row>
    <row r="114" spans="3:4" x14ac:dyDescent="0.25">
      <c r="C114"/>
      <c r="D114"/>
    </row>
    <row r="115" spans="3:4" x14ac:dyDescent="0.25">
      <c r="C115"/>
      <c r="D115"/>
    </row>
    <row r="116" spans="3:4" x14ac:dyDescent="0.25">
      <c r="C116"/>
      <c r="D116"/>
    </row>
    <row r="117" spans="3:4" x14ac:dyDescent="0.25">
      <c r="C117"/>
      <c r="D117"/>
    </row>
    <row r="118" spans="3:4" x14ac:dyDescent="0.25">
      <c r="C118"/>
      <c r="D118"/>
    </row>
    <row r="119" spans="3:4" x14ac:dyDescent="0.25">
      <c r="C119"/>
      <c r="D119"/>
    </row>
    <row r="120" spans="3:4" x14ac:dyDescent="0.25">
      <c r="C120"/>
      <c r="D120"/>
    </row>
    <row r="121" spans="3:4" x14ac:dyDescent="0.25">
      <c r="C121"/>
      <c r="D121"/>
    </row>
    <row r="122" spans="3:4" x14ac:dyDescent="0.25">
      <c r="C122"/>
      <c r="D122"/>
    </row>
    <row r="123" spans="3:4" x14ac:dyDescent="0.25">
      <c r="C123"/>
      <c r="D123"/>
    </row>
    <row r="124" spans="3:4" x14ac:dyDescent="0.25">
      <c r="C124"/>
      <c r="D124"/>
    </row>
    <row r="125" spans="3:4" x14ac:dyDescent="0.25">
      <c r="C125"/>
      <c r="D125"/>
    </row>
    <row r="126" spans="3:4" x14ac:dyDescent="0.25">
      <c r="C126"/>
      <c r="D126"/>
    </row>
    <row r="127" spans="3:4" x14ac:dyDescent="0.25">
      <c r="C127"/>
      <c r="D127"/>
    </row>
    <row r="128" spans="3:4" x14ac:dyDescent="0.25">
      <c r="C128"/>
      <c r="D128"/>
    </row>
    <row r="129" spans="3:4" x14ac:dyDescent="0.25">
      <c r="C129"/>
      <c r="D129"/>
    </row>
    <row r="130" spans="3:4" x14ac:dyDescent="0.25">
      <c r="C130"/>
      <c r="D130"/>
    </row>
    <row r="131" spans="3:4" x14ac:dyDescent="0.25">
      <c r="C131"/>
      <c r="D131"/>
    </row>
    <row r="132" spans="3:4" x14ac:dyDescent="0.25">
      <c r="C132"/>
      <c r="D132"/>
    </row>
    <row r="133" spans="3:4" x14ac:dyDescent="0.25">
      <c r="C133"/>
      <c r="D133"/>
    </row>
    <row r="134" spans="3:4" x14ac:dyDescent="0.25">
      <c r="C134"/>
      <c r="D134"/>
    </row>
    <row r="135" spans="3:4" x14ac:dyDescent="0.25">
      <c r="C135"/>
      <c r="D135"/>
    </row>
    <row r="136" spans="3:4" x14ac:dyDescent="0.25">
      <c r="C136"/>
      <c r="D136"/>
    </row>
    <row r="137" spans="3:4" x14ac:dyDescent="0.25">
      <c r="C137"/>
      <c r="D137"/>
    </row>
    <row r="138" spans="3:4" x14ac:dyDescent="0.25">
      <c r="C138"/>
      <c r="D138"/>
    </row>
    <row r="139" spans="3:4" x14ac:dyDescent="0.25">
      <c r="C139"/>
      <c r="D139"/>
    </row>
    <row r="140" spans="3:4" x14ac:dyDescent="0.25">
      <c r="C140"/>
      <c r="D140"/>
    </row>
    <row r="141" spans="3:4" x14ac:dyDescent="0.25">
      <c r="C141"/>
      <c r="D141"/>
    </row>
    <row r="142" spans="3:4" x14ac:dyDescent="0.25">
      <c r="C142"/>
      <c r="D142"/>
    </row>
    <row r="143" spans="3:4" x14ac:dyDescent="0.25">
      <c r="C143"/>
      <c r="D143"/>
    </row>
    <row r="144" spans="3:4" x14ac:dyDescent="0.25">
      <c r="C144"/>
      <c r="D144"/>
    </row>
    <row r="145" spans="3:4" x14ac:dyDescent="0.25">
      <c r="C145"/>
      <c r="D145"/>
    </row>
    <row r="146" spans="3:4" x14ac:dyDescent="0.25">
      <c r="C146"/>
      <c r="D146"/>
    </row>
    <row r="147" spans="3:4" x14ac:dyDescent="0.25">
      <c r="C147"/>
      <c r="D147"/>
    </row>
    <row r="148" spans="3:4" x14ac:dyDescent="0.25">
      <c r="C148"/>
      <c r="D148"/>
    </row>
    <row r="149" spans="3:4" x14ac:dyDescent="0.25">
      <c r="C149"/>
      <c r="D149"/>
    </row>
    <row r="150" spans="3:4" x14ac:dyDescent="0.25">
      <c r="C150"/>
      <c r="D150"/>
    </row>
    <row r="151" spans="3:4" x14ac:dyDescent="0.25">
      <c r="C151"/>
      <c r="D151"/>
    </row>
    <row r="152" spans="3:4" x14ac:dyDescent="0.25">
      <c r="C152"/>
      <c r="D152"/>
    </row>
    <row r="153" spans="3:4" x14ac:dyDescent="0.25">
      <c r="C153"/>
      <c r="D153"/>
    </row>
    <row r="154" spans="3:4" x14ac:dyDescent="0.25">
      <c r="C154"/>
      <c r="D154"/>
    </row>
    <row r="155" spans="3:4" x14ac:dyDescent="0.25">
      <c r="C155"/>
      <c r="D155"/>
    </row>
    <row r="156" spans="3:4" x14ac:dyDescent="0.25">
      <c r="C156"/>
      <c r="D156"/>
    </row>
    <row r="157" spans="3:4" x14ac:dyDescent="0.25">
      <c r="C157"/>
      <c r="D157"/>
    </row>
    <row r="158" spans="3:4" x14ac:dyDescent="0.25">
      <c r="C158"/>
      <c r="D158"/>
    </row>
    <row r="159" spans="3:4" x14ac:dyDescent="0.25">
      <c r="C159"/>
      <c r="D159"/>
    </row>
    <row r="160" spans="3:4" x14ac:dyDescent="0.25">
      <c r="C160"/>
      <c r="D160"/>
    </row>
    <row r="161" spans="3:4" x14ac:dyDescent="0.25">
      <c r="C161"/>
      <c r="D161"/>
    </row>
    <row r="162" spans="3:4" x14ac:dyDescent="0.25">
      <c r="C162"/>
      <c r="D162"/>
    </row>
    <row r="163" spans="3:4" x14ac:dyDescent="0.25">
      <c r="C163"/>
      <c r="D163"/>
    </row>
    <row r="164" spans="3:4" x14ac:dyDescent="0.25">
      <c r="C164"/>
      <c r="D164"/>
    </row>
    <row r="165" spans="3:4" x14ac:dyDescent="0.25">
      <c r="C165"/>
      <c r="D165"/>
    </row>
    <row r="166" spans="3:4" x14ac:dyDescent="0.25">
      <c r="C166"/>
      <c r="D166"/>
    </row>
    <row r="167" spans="3:4" x14ac:dyDescent="0.25">
      <c r="C167"/>
      <c r="D167"/>
    </row>
    <row r="168" spans="3:4" x14ac:dyDescent="0.25">
      <c r="C168"/>
      <c r="D168"/>
    </row>
    <row r="169" spans="3:4" x14ac:dyDescent="0.25">
      <c r="C169"/>
      <c r="D169"/>
    </row>
    <row r="170" spans="3:4" x14ac:dyDescent="0.25">
      <c r="C170"/>
      <c r="D170"/>
    </row>
    <row r="171" spans="3:4" x14ac:dyDescent="0.25">
      <c r="C171"/>
      <c r="D171"/>
    </row>
    <row r="172" spans="3:4" x14ac:dyDescent="0.25">
      <c r="C172"/>
      <c r="D172"/>
    </row>
    <row r="173" spans="3:4" x14ac:dyDescent="0.25">
      <c r="C173"/>
      <c r="D173"/>
    </row>
    <row r="174" spans="3:4" x14ac:dyDescent="0.25">
      <c r="C174"/>
      <c r="D174"/>
    </row>
    <row r="175" spans="3:4" x14ac:dyDescent="0.25">
      <c r="C175"/>
      <c r="D175"/>
    </row>
    <row r="176" spans="3:4" x14ac:dyDescent="0.25">
      <c r="C176"/>
      <c r="D176"/>
    </row>
    <row r="177" spans="3:4" x14ac:dyDescent="0.25">
      <c r="C177"/>
      <c r="D177"/>
    </row>
    <row r="178" spans="3:4" x14ac:dyDescent="0.25">
      <c r="C178"/>
      <c r="D178"/>
    </row>
    <row r="179" spans="3:4" x14ac:dyDescent="0.25">
      <c r="C179"/>
      <c r="D179"/>
    </row>
    <row r="180" spans="3:4" x14ac:dyDescent="0.25">
      <c r="C180"/>
      <c r="D180"/>
    </row>
    <row r="181" spans="3:4" x14ac:dyDescent="0.25">
      <c r="C181"/>
      <c r="D181"/>
    </row>
    <row r="182" spans="3:4" x14ac:dyDescent="0.25">
      <c r="C182"/>
      <c r="D182"/>
    </row>
    <row r="183" spans="3:4" x14ac:dyDescent="0.25">
      <c r="C183"/>
      <c r="D183"/>
    </row>
    <row r="184" spans="3:4" x14ac:dyDescent="0.25">
      <c r="C184"/>
      <c r="D184"/>
    </row>
    <row r="185" spans="3:4" x14ac:dyDescent="0.25">
      <c r="C185"/>
      <c r="D185"/>
    </row>
    <row r="186" spans="3:4" x14ac:dyDescent="0.25">
      <c r="C186"/>
      <c r="D186"/>
    </row>
    <row r="187" spans="3:4" x14ac:dyDescent="0.25">
      <c r="C187"/>
      <c r="D187"/>
    </row>
    <row r="188" spans="3:4" x14ac:dyDescent="0.25">
      <c r="C188"/>
      <c r="D188"/>
    </row>
    <row r="189" spans="3:4" x14ac:dyDescent="0.25">
      <c r="C189"/>
      <c r="D189"/>
    </row>
    <row r="190" spans="3:4" x14ac:dyDescent="0.25">
      <c r="C190"/>
      <c r="D190"/>
    </row>
    <row r="191" spans="3:4" x14ac:dyDescent="0.25">
      <c r="C191"/>
      <c r="D191"/>
    </row>
    <row r="192" spans="3:4" x14ac:dyDescent="0.25">
      <c r="C192"/>
      <c r="D192"/>
    </row>
    <row r="193" spans="3:4" x14ac:dyDescent="0.25">
      <c r="C193"/>
      <c r="D193"/>
    </row>
    <row r="194" spans="3:4" x14ac:dyDescent="0.25">
      <c r="C194"/>
      <c r="D194"/>
    </row>
    <row r="195" spans="3:4" x14ac:dyDescent="0.25">
      <c r="C195"/>
      <c r="D195"/>
    </row>
    <row r="196" spans="3:4" x14ac:dyDescent="0.25">
      <c r="C196"/>
      <c r="D196"/>
    </row>
    <row r="197" spans="3:4" x14ac:dyDescent="0.25">
      <c r="C197"/>
      <c r="D197"/>
    </row>
    <row r="198" spans="3:4" x14ac:dyDescent="0.25">
      <c r="C198"/>
      <c r="D198"/>
    </row>
    <row r="199" spans="3:4" x14ac:dyDescent="0.25">
      <c r="C199"/>
      <c r="D199"/>
    </row>
    <row r="200" spans="3:4" x14ac:dyDescent="0.25">
      <c r="C200"/>
      <c r="D200"/>
    </row>
    <row r="201" spans="3:4" x14ac:dyDescent="0.25">
      <c r="C201"/>
      <c r="D201"/>
    </row>
    <row r="202" spans="3:4" x14ac:dyDescent="0.25">
      <c r="C202"/>
      <c r="D202"/>
    </row>
    <row r="203" spans="3:4" x14ac:dyDescent="0.25">
      <c r="C203"/>
      <c r="D203"/>
    </row>
    <row r="204" spans="3:4" x14ac:dyDescent="0.25">
      <c r="C204"/>
      <c r="D204"/>
    </row>
    <row r="205" spans="3:4" x14ac:dyDescent="0.25">
      <c r="C205"/>
      <c r="D205"/>
    </row>
    <row r="206" spans="3:4" x14ac:dyDescent="0.25">
      <c r="C206"/>
      <c r="D206"/>
    </row>
    <row r="207" spans="3:4" x14ac:dyDescent="0.25">
      <c r="C207"/>
      <c r="D207"/>
    </row>
    <row r="208" spans="3:4" x14ac:dyDescent="0.25">
      <c r="C208"/>
      <c r="D208"/>
    </row>
    <row r="209" spans="3:4" x14ac:dyDescent="0.25">
      <c r="C209"/>
      <c r="D209"/>
    </row>
    <row r="210" spans="3:4" x14ac:dyDescent="0.25">
      <c r="C210"/>
      <c r="D210"/>
    </row>
    <row r="211" spans="3:4" x14ac:dyDescent="0.25">
      <c r="C211"/>
      <c r="D211"/>
    </row>
    <row r="212" spans="3:4" x14ac:dyDescent="0.25">
      <c r="C212"/>
      <c r="D212"/>
    </row>
    <row r="213" spans="3:4" x14ac:dyDescent="0.25">
      <c r="C213"/>
      <c r="D213"/>
    </row>
    <row r="214" spans="3:4" x14ac:dyDescent="0.25">
      <c r="C214"/>
      <c r="D214"/>
    </row>
    <row r="215" spans="3:4" x14ac:dyDescent="0.25">
      <c r="C215"/>
      <c r="D215"/>
    </row>
    <row r="216" spans="3:4" x14ac:dyDescent="0.25">
      <c r="C216"/>
      <c r="D216"/>
    </row>
    <row r="217" spans="3:4" x14ac:dyDescent="0.25">
      <c r="C217"/>
      <c r="D217"/>
    </row>
    <row r="218" spans="3:4" x14ac:dyDescent="0.25">
      <c r="C218"/>
      <c r="D218"/>
    </row>
    <row r="219" spans="3:4" x14ac:dyDescent="0.25">
      <c r="C219"/>
      <c r="D219"/>
    </row>
    <row r="220" spans="3:4" x14ac:dyDescent="0.25">
      <c r="C220"/>
      <c r="D220"/>
    </row>
    <row r="221" spans="3:4" x14ac:dyDescent="0.25">
      <c r="C221"/>
      <c r="D221"/>
    </row>
    <row r="222" spans="3:4" x14ac:dyDescent="0.25">
      <c r="C222"/>
      <c r="D222"/>
    </row>
    <row r="223" spans="3:4" x14ac:dyDescent="0.25">
      <c r="C223"/>
      <c r="D223"/>
    </row>
    <row r="224" spans="3:4" x14ac:dyDescent="0.25">
      <c r="C224"/>
      <c r="D224"/>
    </row>
    <row r="225" spans="3:4" x14ac:dyDescent="0.25">
      <c r="C225"/>
      <c r="D225"/>
    </row>
    <row r="226" spans="3:4" x14ac:dyDescent="0.25">
      <c r="C226"/>
      <c r="D226"/>
    </row>
    <row r="227" spans="3:4" x14ac:dyDescent="0.25">
      <c r="C227"/>
      <c r="D227"/>
    </row>
    <row r="228" spans="3:4" x14ac:dyDescent="0.25">
      <c r="C228"/>
      <c r="D228"/>
    </row>
    <row r="229" spans="3:4" x14ac:dyDescent="0.25">
      <c r="C229"/>
      <c r="D229"/>
    </row>
    <row r="230" spans="3:4" x14ac:dyDescent="0.25">
      <c r="C230"/>
      <c r="D230"/>
    </row>
    <row r="231" spans="3:4" x14ac:dyDescent="0.25">
      <c r="C231"/>
      <c r="D231"/>
    </row>
    <row r="232" spans="3:4" x14ac:dyDescent="0.25">
      <c r="C232"/>
      <c r="D232"/>
    </row>
    <row r="233" spans="3:4" x14ac:dyDescent="0.25">
      <c r="C233"/>
      <c r="D233"/>
    </row>
    <row r="234" spans="3:4" x14ac:dyDescent="0.25">
      <c r="C234"/>
      <c r="D234"/>
    </row>
    <row r="235" spans="3:4" x14ac:dyDescent="0.25">
      <c r="C235"/>
      <c r="D235"/>
    </row>
    <row r="236" spans="3:4" x14ac:dyDescent="0.25">
      <c r="C236"/>
      <c r="D236"/>
    </row>
    <row r="237" spans="3:4" x14ac:dyDescent="0.25">
      <c r="C237"/>
      <c r="D237"/>
    </row>
    <row r="238" spans="3:4" x14ac:dyDescent="0.25">
      <c r="C238"/>
      <c r="D238"/>
    </row>
    <row r="239" spans="3:4" x14ac:dyDescent="0.25">
      <c r="C239"/>
      <c r="D239"/>
    </row>
    <row r="240" spans="3:4" x14ac:dyDescent="0.25">
      <c r="C240"/>
      <c r="D240"/>
    </row>
    <row r="241" spans="3:4" x14ac:dyDescent="0.25">
      <c r="C241"/>
      <c r="D241"/>
    </row>
    <row r="242" spans="3:4" x14ac:dyDescent="0.25">
      <c r="C242"/>
      <c r="D242"/>
    </row>
    <row r="243" spans="3:4" x14ac:dyDescent="0.25">
      <c r="C243"/>
      <c r="D243"/>
    </row>
    <row r="244" spans="3:4" x14ac:dyDescent="0.25">
      <c r="C244"/>
      <c r="D244"/>
    </row>
    <row r="245" spans="3:4" x14ac:dyDescent="0.25">
      <c r="C245"/>
      <c r="D245"/>
    </row>
    <row r="246" spans="3:4" x14ac:dyDescent="0.25">
      <c r="C246"/>
      <c r="D246"/>
    </row>
    <row r="247" spans="3:4" x14ac:dyDescent="0.25">
      <c r="C247"/>
      <c r="D247"/>
    </row>
    <row r="248" spans="3:4" x14ac:dyDescent="0.25">
      <c r="C248"/>
      <c r="D248"/>
    </row>
    <row r="249" spans="3:4" x14ac:dyDescent="0.25">
      <c r="C249"/>
      <c r="D249"/>
    </row>
    <row r="250" spans="3:4" x14ac:dyDescent="0.25">
      <c r="C250"/>
      <c r="D250"/>
    </row>
    <row r="251" spans="3:4" x14ac:dyDescent="0.25">
      <c r="C251"/>
      <c r="D251"/>
    </row>
    <row r="252" spans="3:4" x14ac:dyDescent="0.25">
      <c r="C252"/>
      <c r="D252"/>
    </row>
    <row r="253" spans="3:4" x14ac:dyDescent="0.25">
      <c r="C253"/>
      <c r="D253"/>
    </row>
    <row r="254" spans="3:4" x14ac:dyDescent="0.25">
      <c r="C254"/>
      <c r="D254"/>
    </row>
    <row r="255" spans="3:4" x14ac:dyDescent="0.25">
      <c r="C255"/>
      <c r="D255"/>
    </row>
    <row r="256" spans="3:4" x14ac:dyDescent="0.25">
      <c r="C256"/>
      <c r="D256"/>
    </row>
    <row r="257" spans="3:4" x14ac:dyDescent="0.25">
      <c r="C257"/>
      <c r="D257"/>
    </row>
    <row r="258" spans="3:4" x14ac:dyDescent="0.25">
      <c r="C258"/>
      <c r="D258"/>
    </row>
    <row r="259" spans="3:4" x14ac:dyDescent="0.25">
      <c r="C259"/>
      <c r="D259"/>
    </row>
    <row r="260" spans="3:4" x14ac:dyDescent="0.25">
      <c r="C260"/>
      <c r="D260"/>
    </row>
    <row r="261" spans="3:4" x14ac:dyDescent="0.25">
      <c r="C261"/>
      <c r="D261"/>
    </row>
    <row r="262" spans="3:4" x14ac:dyDescent="0.25">
      <c r="C262"/>
      <c r="D262"/>
    </row>
    <row r="263" spans="3:4" x14ac:dyDescent="0.25">
      <c r="C263"/>
      <c r="D263"/>
    </row>
    <row r="264" spans="3:4" x14ac:dyDescent="0.25">
      <c r="C264"/>
      <c r="D264"/>
    </row>
    <row r="265" spans="3:4" x14ac:dyDescent="0.25">
      <c r="C265"/>
      <c r="D265"/>
    </row>
    <row r="266" spans="3:4" x14ac:dyDescent="0.25">
      <c r="C266"/>
      <c r="D266"/>
    </row>
    <row r="267" spans="3:4" x14ac:dyDescent="0.25">
      <c r="C267"/>
      <c r="D267"/>
    </row>
    <row r="268" spans="3:4" x14ac:dyDescent="0.25">
      <c r="C268"/>
      <c r="D268"/>
    </row>
    <row r="269" spans="3:4" x14ac:dyDescent="0.25">
      <c r="C269"/>
      <c r="D269"/>
    </row>
    <row r="270" spans="3:4" x14ac:dyDescent="0.25">
      <c r="C270"/>
      <c r="D270"/>
    </row>
    <row r="271" spans="3:4" x14ac:dyDescent="0.25">
      <c r="C271"/>
      <c r="D271"/>
    </row>
    <row r="272" spans="3:4" x14ac:dyDescent="0.25">
      <c r="C272"/>
      <c r="D272"/>
    </row>
    <row r="273" spans="3:4" x14ac:dyDescent="0.25">
      <c r="C273"/>
      <c r="D273"/>
    </row>
    <row r="274" spans="3:4" x14ac:dyDescent="0.25">
      <c r="C274"/>
      <c r="D274"/>
    </row>
    <row r="275" spans="3:4" x14ac:dyDescent="0.25">
      <c r="C275"/>
      <c r="D275"/>
    </row>
    <row r="276" spans="3:4" x14ac:dyDescent="0.25">
      <c r="C276"/>
      <c r="D276"/>
    </row>
    <row r="277" spans="3:4" x14ac:dyDescent="0.25">
      <c r="C277"/>
      <c r="D277"/>
    </row>
    <row r="278" spans="3:4" x14ac:dyDescent="0.25">
      <c r="C278"/>
      <c r="D278"/>
    </row>
    <row r="279" spans="3:4" x14ac:dyDescent="0.25">
      <c r="C279"/>
      <c r="D279"/>
    </row>
    <row r="280" spans="3:4" x14ac:dyDescent="0.25">
      <c r="C280"/>
      <c r="D280"/>
    </row>
    <row r="281" spans="3:4" x14ac:dyDescent="0.25">
      <c r="C281"/>
      <c r="D281"/>
    </row>
    <row r="282" spans="3:4" x14ac:dyDescent="0.25">
      <c r="C282"/>
      <c r="D282"/>
    </row>
    <row r="283" spans="3:4" x14ac:dyDescent="0.25">
      <c r="C283"/>
      <c r="D283"/>
    </row>
    <row r="284" spans="3:4" x14ac:dyDescent="0.25">
      <c r="C284"/>
      <c r="D284"/>
    </row>
    <row r="285" spans="3:4" x14ac:dyDescent="0.25">
      <c r="C285"/>
      <c r="D285"/>
    </row>
    <row r="286" spans="3:4" x14ac:dyDescent="0.25">
      <c r="C286"/>
      <c r="D286"/>
    </row>
    <row r="287" spans="3:4" x14ac:dyDescent="0.25">
      <c r="C287"/>
      <c r="D287"/>
    </row>
    <row r="288" spans="3:4" x14ac:dyDescent="0.25">
      <c r="C288"/>
      <c r="D288"/>
    </row>
    <row r="289" spans="3:4" x14ac:dyDescent="0.25">
      <c r="C289"/>
      <c r="D289"/>
    </row>
    <row r="290" spans="3:4" x14ac:dyDescent="0.25">
      <c r="C290"/>
      <c r="D290"/>
    </row>
    <row r="291" spans="3:4" x14ac:dyDescent="0.25">
      <c r="C291"/>
      <c r="D291"/>
    </row>
    <row r="292" spans="3:4" x14ac:dyDescent="0.25">
      <c r="C292"/>
      <c r="D292"/>
    </row>
    <row r="293" spans="3:4" x14ac:dyDescent="0.25">
      <c r="C293"/>
      <c r="D293"/>
    </row>
    <row r="294" spans="3:4" x14ac:dyDescent="0.25">
      <c r="C294"/>
      <c r="D294"/>
    </row>
    <row r="295" spans="3:4" x14ac:dyDescent="0.25">
      <c r="C295"/>
      <c r="D295"/>
    </row>
    <row r="296" spans="3:4" x14ac:dyDescent="0.25">
      <c r="C296"/>
      <c r="D296"/>
    </row>
    <row r="297" spans="3:4" x14ac:dyDescent="0.25">
      <c r="C297"/>
      <c r="D297"/>
    </row>
    <row r="298" spans="3:4" x14ac:dyDescent="0.25">
      <c r="C298"/>
      <c r="D298"/>
    </row>
    <row r="299" spans="3:4" x14ac:dyDescent="0.25">
      <c r="C299"/>
      <c r="D299"/>
    </row>
    <row r="300" spans="3:4" x14ac:dyDescent="0.25">
      <c r="C300"/>
      <c r="D300"/>
    </row>
    <row r="301" spans="3:4" x14ac:dyDescent="0.25">
      <c r="C301"/>
      <c r="D301"/>
    </row>
    <row r="302" spans="3:4" x14ac:dyDescent="0.25">
      <c r="C302"/>
      <c r="D302"/>
    </row>
    <row r="303" spans="3:4" x14ac:dyDescent="0.25">
      <c r="C303"/>
      <c r="D303"/>
    </row>
    <row r="304" spans="3:4" x14ac:dyDescent="0.25">
      <c r="C304"/>
      <c r="D304"/>
    </row>
    <row r="305" spans="3:4" x14ac:dyDescent="0.25">
      <c r="C305"/>
      <c r="D305"/>
    </row>
    <row r="306" spans="3:4" x14ac:dyDescent="0.25">
      <c r="C306"/>
      <c r="D306"/>
    </row>
    <row r="307" spans="3:4" x14ac:dyDescent="0.25">
      <c r="C307"/>
      <c r="D307"/>
    </row>
    <row r="308" spans="3:4" x14ac:dyDescent="0.25">
      <c r="C308"/>
      <c r="D308"/>
    </row>
    <row r="309" spans="3:4" x14ac:dyDescent="0.25">
      <c r="C309"/>
      <c r="D309"/>
    </row>
    <row r="310" spans="3:4" x14ac:dyDescent="0.25">
      <c r="C310"/>
      <c r="D310"/>
    </row>
    <row r="311" spans="3:4" x14ac:dyDescent="0.25">
      <c r="C311"/>
      <c r="D311"/>
    </row>
    <row r="312" spans="3:4" x14ac:dyDescent="0.25">
      <c r="C312"/>
      <c r="D312"/>
    </row>
    <row r="313" spans="3:4" x14ac:dyDescent="0.25">
      <c r="C313"/>
      <c r="D313"/>
    </row>
    <row r="314" spans="3:4" x14ac:dyDescent="0.25">
      <c r="C314"/>
      <c r="D314"/>
    </row>
    <row r="315" spans="3:4" x14ac:dyDescent="0.25">
      <c r="C315"/>
      <c r="D315"/>
    </row>
    <row r="316" spans="3:4" x14ac:dyDescent="0.25">
      <c r="C316"/>
      <c r="D316"/>
    </row>
    <row r="317" spans="3:4" x14ac:dyDescent="0.25">
      <c r="C317"/>
      <c r="D317"/>
    </row>
    <row r="318" spans="3:4" x14ac:dyDescent="0.25">
      <c r="C318"/>
      <c r="D318"/>
    </row>
    <row r="319" spans="3:4" x14ac:dyDescent="0.25">
      <c r="C319"/>
      <c r="D319"/>
    </row>
    <row r="320" spans="3:4" x14ac:dyDescent="0.25">
      <c r="C320"/>
      <c r="D320"/>
    </row>
    <row r="321" spans="3:4" x14ac:dyDescent="0.25">
      <c r="C321"/>
      <c r="D321"/>
    </row>
    <row r="322" spans="3:4" x14ac:dyDescent="0.25">
      <c r="C322"/>
      <c r="D322"/>
    </row>
    <row r="323" spans="3:4" x14ac:dyDescent="0.25">
      <c r="C323"/>
      <c r="D323"/>
    </row>
    <row r="324" spans="3:4" x14ac:dyDescent="0.25">
      <c r="C324"/>
      <c r="D324"/>
    </row>
    <row r="325" spans="3:4" x14ac:dyDescent="0.25">
      <c r="C325"/>
      <c r="D325"/>
    </row>
    <row r="326" spans="3:4" x14ac:dyDescent="0.25">
      <c r="C326"/>
      <c r="D326"/>
    </row>
    <row r="327" spans="3:4" x14ac:dyDescent="0.25">
      <c r="C327"/>
      <c r="D327"/>
    </row>
    <row r="328" spans="3:4" x14ac:dyDescent="0.25">
      <c r="C328"/>
      <c r="D328"/>
    </row>
    <row r="329" spans="3:4" x14ac:dyDescent="0.25">
      <c r="C329"/>
      <c r="D329"/>
    </row>
    <row r="330" spans="3:4" x14ac:dyDescent="0.25">
      <c r="C330"/>
      <c r="D330"/>
    </row>
    <row r="331" spans="3:4" x14ac:dyDescent="0.25">
      <c r="C331"/>
      <c r="D331"/>
    </row>
    <row r="332" spans="3:4" x14ac:dyDescent="0.25">
      <c r="C332"/>
      <c r="D332"/>
    </row>
    <row r="333" spans="3:4" x14ac:dyDescent="0.25">
      <c r="C333"/>
      <c r="D333"/>
    </row>
    <row r="334" spans="3:4" x14ac:dyDescent="0.25">
      <c r="C334"/>
      <c r="D334"/>
    </row>
    <row r="335" spans="3:4" x14ac:dyDescent="0.25">
      <c r="C335"/>
      <c r="D335"/>
    </row>
    <row r="336" spans="3:4" x14ac:dyDescent="0.25">
      <c r="C336"/>
      <c r="D336"/>
    </row>
    <row r="337" spans="3:4" x14ac:dyDescent="0.25">
      <c r="C337"/>
      <c r="D337"/>
    </row>
    <row r="338" spans="3:4" x14ac:dyDescent="0.25">
      <c r="C338"/>
      <c r="D338"/>
    </row>
    <row r="339" spans="3:4" x14ac:dyDescent="0.25">
      <c r="C339"/>
      <c r="D339"/>
    </row>
    <row r="340" spans="3:4" x14ac:dyDescent="0.25">
      <c r="C340"/>
      <c r="D340"/>
    </row>
    <row r="341" spans="3:4" x14ac:dyDescent="0.25">
      <c r="C341"/>
      <c r="D341"/>
    </row>
    <row r="342" spans="3:4" x14ac:dyDescent="0.25">
      <c r="C342"/>
      <c r="D342"/>
    </row>
    <row r="343" spans="3:4" x14ac:dyDescent="0.25">
      <c r="C343"/>
      <c r="D343"/>
    </row>
    <row r="344" spans="3:4" x14ac:dyDescent="0.25">
      <c r="C344"/>
      <c r="D344"/>
    </row>
    <row r="345" spans="3:4" x14ac:dyDescent="0.25">
      <c r="C345"/>
      <c r="D345"/>
    </row>
    <row r="346" spans="3:4" x14ac:dyDescent="0.25">
      <c r="C346"/>
      <c r="D346"/>
    </row>
    <row r="347" spans="3:4" x14ac:dyDescent="0.25">
      <c r="C347"/>
      <c r="D347"/>
    </row>
    <row r="348" spans="3:4" x14ac:dyDescent="0.25">
      <c r="C348"/>
      <c r="D348"/>
    </row>
    <row r="349" spans="3:4" x14ac:dyDescent="0.25">
      <c r="C349"/>
      <c r="D349"/>
    </row>
    <row r="350" spans="3:4" x14ac:dyDescent="0.25">
      <c r="C350"/>
      <c r="D350"/>
    </row>
    <row r="351" spans="3:4" x14ac:dyDescent="0.25">
      <c r="C351"/>
      <c r="D351"/>
    </row>
    <row r="352" spans="3:4" x14ac:dyDescent="0.25">
      <c r="C352"/>
      <c r="D352"/>
    </row>
    <row r="353" spans="3:4" x14ac:dyDescent="0.25">
      <c r="C353"/>
      <c r="D353"/>
    </row>
    <row r="354" spans="3:4" x14ac:dyDescent="0.25">
      <c r="C354"/>
      <c r="D354"/>
    </row>
    <row r="355" spans="3:4" x14ac:dyDescent="0.25">
      <c r="C355"/>
      <c r="D355"/>
    </row>
    <row r="356" spans="3:4" x14ac:dyDescent="0.25">
      <c r="C356"/>
      <c r="D356"/>
    </row>
    <row r="357" spans="3:4" x14ac:dyDescent="0.25">
      <c r="C357"/>
      <c r="D357"/>
    </row>
    <row r="358" spans="3:4" x14ac:dyDescent="0.25">
      <c r="C358"/>
      <c r="D358"/>
    </row>
    <row r="359" spans="3:4" x14ac:dyDescent="0.25">
      <c r="C359"/>
      <c r="D359"/>
    </row>
    <row r="360" spans="3:4" x14ac:dyDescent="0.25">
      <c r="C360"/>
      <c r="D360"/>
    </row>
    <row r="361" spans="3:4" x14ac:dyDescent="0.25">
      <c r="C361"/>
      <c r="D361"/>
    </row>
    <row r="362" spans="3:4" x14ac:dyDescent="0.25">
      <c r="C362"/>
      <c r="D362"/>
    </row>
    <row r="363" spans="3:4" x14ac:dyDescent="0.25">
      <c r="C363"/>
      <c r="D363"/>
    </row>
    <row r="364" spans="3:4" x14ac:dyDescent="0.25">
      <c r="C364"/>
      <c r="D364"/>
    </row>
    <row r="365" spans="3:4" x14ac:dyDescent="0.25">
      <c r="C365"/>
      <c r="D365"/>
    </row>
    <row r="366" spans="3:4" x14ac:dyDescent="0.25">
      <c r="C366"/>
      <c r="D366"/>
    </row>
    <row r="367" spans="3:4" x14ac:dyDescent="0.25">
      <c r="C367"/>
      <c r="D367"/>
    </row>
    <row r="368" spans="3:4" x14ac:dyDescent="0.25">
      <c r="C368"/>
      <c r="D368"/>
    </row>
    <row r="369" spans="3:4" x14ac:dyDescent="0.25">
      <c r="C369"/>
      <c r="D369"/>
    </row>
    <row r="370" spans="3:4" x14ac:dyDescent="0.25">
      <c r="C370"/>
      <c r="D370"/>
    </row>
    <row r="371" spans="3:4" x14ac:dyDescent="0.25">
      <c r="C371"/>
      <c r="D371"/>
    </row>
    <row r="372" spans="3:4" x14ac:dyDescent="0.25">
      <c r="C372"/>
      <c r="D372"/>
    </row>
    <row r="373" spans="3:4" x14ac:dyDescent="0.25">
      <c r="C373"/>
      <c r="D373"/>
    </row>
    <row r="374" spans="3:4" x14ac:dyDescent="0.25">
      <c r="C374"/>
      <c r="D374"/>
    </row>
    <row r="375" spans="3:4" x14ac:dyDescent="0.25">
      <c r="C375"/>
      <c r="D375"/>
    </row>
    <row r="376" spans="3:4" x14ac:dyDescent="0.25">
      <c r="C376"/>
      <c r="D376"/>
    </row>
    <row r="377" spans="3:4" x14ac:dyDescent="0.25">
      <c r="C377"/>
      <c r="D377"/>
    </row>
    <row r="378" spans="3:4" x14ac:dyDescent="0.25">
      <c r="C378"/>
      <c r="D378"/>
    </row>
    <row r="379" spans="3:4" x14ac:dyDescent="0.25">
      <c r="C379"/>
      <c r="D379"/>
    </row>
    <row r="380" spans="3:4" x14ac:dyDescent="0.25">
      <c r="C380"/>
      <c r="D380"/>
    </row>
    <row r="381" spans="3:4" x14ac:dyDescent="0.25">
      <c r="C381"/>
      <c r="D381"/>
    </row>
    <row r="382" spans="3:4" x14ac:dyDescent="0.25">
      <c r="C382"/>
      <c r="D382"/>
    </row>
    <row r="383" spans="3:4" x14ac:dyDescent="0.25">
      <c r="C383"/>
      <c r="D383"/>
    </row>
    <row r="384" spans="3:4" x14ac:dyDescent="0.25">
      <c r="C384"/>
      <c r="D384"/>
    </row>
    <row r="385" spans="3:4" x14ac:dyDescent="0.25">
      <c r="C385"/>
      <c r="D385"/>
    </row>
    <row r="386" spans="3:4" x14ac:dyDescent="0.25">
      <c r="C386"/>
      <c r="D386"/>
    </row>
    <row r="387" spans="3:4" x14ac:dyDescent="0.25">
      <c r="C387"/>
      <c r="D387"/>
    </row>
    <row r="388" spans="3:4" x14ac:dyDescent="0.25">
      <c r="C388"/>
      <c r="D388"/>
    </row>
    <row r="389" spans="3:4" x14ac:dyDescent="0.25">
      <c r="C389"/>
      <c r="D389"/>
    </row>
    <row r="390" spans="3:4" x14ac:dyDescent="0.25">
      <c r="C390"/>
      <c r="D390"/>
    </row>
    <row r="391" spans="3:4" x14ac:dyDescent="0.25">
      <c r="C391"/>
      <c r="D391"/>
    </row>
    <row r="392" spans="3:4" x14ac:dyDescent="0.25">
      <c r="C392"/>
      <c r="D392"/>
    </row>
    <row r="393" spans="3:4" x14ac:dyDescent="0.25">
      <c r="C393"/>
      <c r="D393"/>
    </row>
    <row r="394" spans="3:4" x14ac:dyDescent="0.25">
      <c r="C394"/>
      <c r="D394"/>
    </row>
    <row r="395" spans="3:4" x14ac:dyDescent="0.25">
      <c r="C395"/>
      <c r="D395"/>
    </row>
    <row r="396" spans="3:4" x14ac:dyDescent="0.25">
      <c r="C396"/>
      <c r="D396"/>
    </row>
    <row r="397" spans="3:4" x14ac:dyDescent="0.25">
      <c r="C397"/>
      <c r="D397"/>
    </row>
    <row r="398" spans="3:4" x14ac:dyDescent="0.25">
      <c r="C398"/>
      <c r="D398"/>
    </row>
    <row r="399" spans="3:4" x14ac:dyDescent="0.25">
      <c r="C399"/>
      <c r="D399"/>
    </row>
    <row r="400" spans="3:4" x14ac:dyDescent="0.25">
      <c r="C400"/>
      <c r="D400"/>
    </row>
    <row r="401" spans="3:4" x14ac:dyDescent="0.25">
      <c r="C401"/>
      <c r="D401"/>
    </row>
    <row r="402" spans="3:4" x14ac:dyDescent="0.25">
      <c r="C402"/>
      <c r="D402"/>
    </row>
    <row r="403" spans="3:4" x14ac:dyDescent="0.25">
      <c r="C403"/>
      <c r="D403"/>
    </row>
    <row r="404" spans="3:4" x14ac:dyDescent="0.25">
      <c r="C404"/>
      <c r="D404"/>
    </row>
    <row r="405" spans="3:4" x14ac:dyDescent="0.25">
      <c r="C405"/>
      <c r="D405"/>
    </row>
    <row r="406" spans="3:4" x14ac:dyDescent="0.25">
      <c r="C406"/>
      <c r="D406"/>
    </row>
    <row r="407" spans="3:4" x14ac:dyDescent="0.25">
      <c r="C407"/>
      <c r="D407"/>
    </row>
    <row r="408" spans="3:4" x14ac:dyDescent="0.25">
      <c r="C408"/>
      <c r="D408"/>
    </row>
    <row r="409" spans="3:4" x14ac:dyDescent="0.25">
      <c r="C409"/>
      <c r="D409"/>
    </row>
    <row r="410" spans="3:4" x14ac:dyDescent="0.25">
      <c r="C410"/>
      <c r="D410"/>
    </row>
    <row r="411" spans="3:4" x14ac:dyDescent="0.25">
      <c r="C411"/>
      <c r="D411"/>
    </row>
    <row r="412" spans="3:4" x14ac:dyDescent="0.25">
      <c r="C412"/>
      <c r="D412"/>
    </row>
    <row r="413" spans="3:4" x14ac:dyDescent="0.25">
      <c r="C413"/>
      <c r="D413"/>
    </row>
    <row r="414" spans="3:4" x14ac:dyDescent="0.25">
      <c r="C414"/>
      <c r="D414"/>
    </row>
    <row r="415" spans="3:4" x14ac:dyDescent="0.25">
      <c r="C415"/>
      <c r="D415"/>
    </row>
    <row r="416" spans="3:4" x14ac:dyDescent="0.25">
      <c r="C416"/>
      <c r="D416"/>
    </row>
    <row r="417" spans="3:4" x14ac:dyDescent="0.25">
      <c r="C417"/>
      <c r="D417"/>
    </row>
    <row r="418" spans="3:4" x14ac:dyDescent="0.25">
      <c r="C418"/>
      <c r="D418"/>
    </row>
    <row r="419" spans="3:4" x14ac:dyDescent="0.25">
      <c r="C419"/>
      <c r="D419"/>
    </row>
    <row r="420" spans="3:4" x14ac:dyDescent="0.25">
      <c r="C420"/>
      <c r="D420"/>
    </row>
    <row r="421" spans="3:4" x14ac:dyDescent="0.25">
      <c r="C421"/>
      <c r="D421"/>
    </row>
    <row r="422" spans="3:4" x14ac:dyDescent="0.25">
      <c r="C422"/>
      <c r="D422"/>
    </row>
    <row r="423" spans="3:4" x14ac:dyDescent="0.25">
      <c r="C423"/>
      <c r="D423"/>
    </row>
    <row r="424" spans="3:4" x14ac:dyDescent="0.25">
      <c r="C424"/>
      <c r="D424"/>
    </row>
    <row r="425" spans="3:4" x14ac:dyDescent="0.25">
      <c r="C425"/>
      <c r="D425"/>
    </row>
    <row r="426" spans="3:4" x14ac:dyDescent="0.25">
      <c r="C426"/>
      <c r="D426"/>
    </row>
    <row r="427" spans="3:4" x14ac:dyDescent="0.25">
      <c r="C427"/>
      <c r="D427"/>
    </row>
    <row r="428" spans="3:4" x14ac:dyDescent="0.25">
      <c r="C428"/>
      <c r="D428"/>
    </row>
    <row r="429" spans="3:4" x14ac:dyDescent="0.25">
      <c r="C429"/>
      <c r="D429"/>
    </row>
    <row r="430" spans="3:4" x14ac:dyDescent="0.25">
      <c r="C430"/>
      <c r="D430"/>
    </row>
    <row r="431" spans="3:4" x14ac:dyDescent="0.25">
      <c r="C431"/>
      <c r="D431"/>
    </row>
    <row r="432" spans="3:4" x14ac:dyDescent="0.25">
      <c r="C432"/>
      <c r="D432"/>
    </row>
    <row r="433" spans="3:4" x14ac:dyDescent="0.25">
      <c r="C433"/>
      <c r="D433"/>
    </row>
    <row r="434" spans="3:4" x14ac:dyDescent="0.25">
      <c r="C434"/>
      <c r="D434"/>
    </row>
    <row r="435" spans="3:4" x14ac:dyDescent="0.25">
      <c r="C435"/>
      <c r="D435"/>
    </row>
    <row r="436" spans="3:4" x14ac:dyDescent="0.25">
      <c r="C436"/>
      <c r="D436"/>
    </row>
    <row r="437" spans="3:4" x14ac:dyDescent="0.25">
      <c r="C437"/>
      <c r="D437"/>
    </row>
    <row r="438" spans="3:4" x14ac:dyDescent="0.25">
      <c r="C438"/>
      <c r="D438"/>
    </row>
    <row r="439" spans="3:4" x14ac:dyDescent="0.25">
      <c r="C439"/>
      <c r="D439"/>
    </row>
    <row r="440" spans="3:4" x14ac:dyDescent="0.25">
      <c r="C440"/>
      <c r="D440"/>
    </row>
    <row r="441" spans="3:4" x14ac:dyDescent="0.25">
      <c r="C441"/>
      <c r="D441"/>
    </row>
    <row r="442" spans="3:4" x14ac:dyDescent="0.25">
      <c r="C442"/>
      <c r="D442"/>
    </row>
    <row r="443" spans="3:4" x14ac:dyDescent="0.25">
      <c r="C443"/>
      <c r="D443"/>
    </row>
    <row r="444" spans="3:4" x14ac:dyDescent="0.25">
      <c r="C444"/>
      <c r="D444"/>
    </row>
    <row r="445" spans="3:4" x14ac:dyDescent="0.25">
      <c r="C445"/>
      <c r="D445"/>
    </row>
    <row r="446" spans="3:4" x14ac:dyDescent="0.25">
      <c r="C446"/>
      <c r="D446"/>
    </row>
    <row r="447" spans="3:4" x14ac:dyDescent="0.25">
      <c r="C447"/>
      <c r="D447"/>
    </row>
    <row r="448" spans="3:4" x14ac:dyDescent="0.25">
      <c r="C448"/>
      <c r="D448"/>
    </row>
    <row r="449" spans="3:4" x14ac:dyDescent="0.25">
      <c r="C449"/>
      <c r="D449"/>
    </row>
    <row r="450" spans="3:4" x14ac:dyDescent="0.25">
      <c r="C450"/>
      <c r="D450"/>
    </row>
    <row r="451" spans="3:4" x14ac:dyDescent="0.25">
      <c r="C451"/>
      <c r="D451"/>
    </row>
    <row r="452" spans="3:4" x14ac:dyDescent="0.25">
      <c r="C452"/>
      <c r="D452"/>
    </row>
    <row r="453" spans="3:4" x14ac:dyDescent="0.25">
      <c r="C453"/>
      <c r="D453"/>
    </row>
    <row r="454" spans="3:4" x14ac:dyDescent="0.25">
      <c r="C454"/>
      <c r="D454"/>
    </row>
    <row r="455" spans="3:4" x14ac:dyDescent="0.25">
      <c r="C455"/>
      <c r="D455"/>
    </row>
    <row r="456" spans="3:4" x14ac:dyDescent="0.25">
      <c r="C456"/>
      <c r="D456"/>
    </row>
    <row r="457" spans="3:4" x14ac:dyDescent="0.25">
      <c r="C457"/>
      <c r="D457"/>
    </row>
    <row r="458" spans="3:4" x14ac:dyDescent="0.25">
      <c r="C458"/>
      <c r="D458"/>
    </row>
    <row r="459" spans="3:4" x14ac:dyDescent="0.25">
      <c r="C459"/>
      <c r="D459"/>
    </row>
    <row r="460" spans="3:4" x14ac:dyDescent="0.25">
      <c r="C460"/>
      <c r="D460"/>
    </row>
    <row r="461" spans="3:4" x14ac:dyDescent="0.25">
      <c r="C461"/>
      <c r="D461"/>
    </row>
    <row r="462" spans="3:4" x14ac:dyDescent="0.25">
      <c r="C462"/>
      <c r="D462"/>
    </row>
    <row r="463" spans="3:4" x14ac:dyDescent="0.25">
      <c r="C463"/>
      <c r="D463"/>
    </row>
    <row r="464" spans="3:4" x14ac:dyDescent="0.25">
      <c r="C464"/>
      <c r="D464"/>
    </row>
    <row r="465" spans="3:4" x14ac:dyDescent="0.25">
      <c r="C465"/>
      <c r="D465"/>
    </row>
    <row r="466" spans="3:4" x14ac:dyDescent="0.25">
      <c r="C466"/>
      <c r="D466"/>
    </row>
    <row r="467" spans="3:4" x14ac:dyDescent="0.25">
      <c r="C467"/>
      <c r="D467"/>
    </row>
    <row r="468" spans="3:4" x14ac:dyDescent="0.25">
      <c r="C468"/>
      <c r="D468"/>
    </row>
    <row r="469" spans="3:4" x14ac:dyDescent="0.25">
      <c r="C469"/>
      <c r="D469"/>
    </row>
    <row r="470" spans="3:4" x14ac:dyDescent="0.25">
      <c r="C470"/>
      <c r="D470"/>
    </row>
    <row r="471" spans="3:4" x14ac:dyDescent="0.25">
      <c r="C471"/>
      <c r="D471"/>
    </row>
    <row r="472" spans="3:4" x14ac:dyDescent="0.25">
      <c r="C472"/>
      <c r="D472"/>
    </row>
    <row r="473" spans="3:4" x14ac:dyDescent="0.25">
      <c r="C473"/>
      <c r="D473"/>
    </row>
    <row r="474" spans="3:4" x14ac:dyDescent="0.25">
      <c r="C474"/>
      <c r="D474"/>
    </row>
    <row r="475" spans="3:4" x14ac:dyDescent="0.25">
      <c r="C475"/>
      <c r="D475"/>
    </row>
    <row r="476" spans="3:4" x14ac:dyDescent="0.25">
      <c r="C476"/>
      <c r="D476"/>
    </row>
    <row r="477" spans="3:4" x14ac:dyDescent="0.25">
      <c r="C477"/>
      <c r="D477"/>
    </row>
    <row r="478" spans="3:4" x14ac:dyDescent="0.25">
      <c r="C478"/>
      <c r="D478"/>
    </row>
    <row r="479" spans="3:4" x14ac:dyDescent="0.25">
      <c r="C479"/>
      <c r="D479"/>
    </row>
    <row r="480" spans="3:4" x14ac:dyDescent="0.25">
      <c r="C480"/>
      <c r="D480"/>
    </row>
    <row r="481" spans="3:4" x14ac:dyDescent="0.25">
      <c r="C481"/>
      <c r="D481"/>
    </row>
    <row r="482" spans="3:4" x14ac:dyDescent="0.25">
      <c r="C482"/>
      <c r="D482"/>
    </row>
    <row r="483" spans="3:4" x14ac:dyDescent="0.25">
      <c r="C483"/>
      <c r="D483"/>
    </row>
    <row r="484" spans="3:4" x14ac:dyDescent="0.25">
      <c r="C484"/>
      <c r="D484"/>
    </row>
    <row r="485" spans="3:4" x14ac:dyDescent="0.25">
      <c r="C485"/>
      <c r="D485"/>
    </row>
    <row r="486" spans="3:4" x14ac:dyDescent="0.25">
      <c r="C486"/>
      <c r="D486"/>
    </row>
    <row r="487" spans="3:4" x14ac:dyDescent="0.25">
      <c r="C487"/>
      <c r="D487"/>
    </row>
    <row r="488" spans="3:4" x14ac:dyDescent="0.25">
      <c r="C488"/>
      <c r="D488"/>
    </row>
    <row r="489" spans="3:4" x14ac:dyDescent="0.25">
      <c r="C489"/>
      <c r="D489"/>
    </row>
    <row r="490" spans="3:4" x14ac:dyDescent="0.25">
      <c r="C490"/>
      <c r="D490"/>
    </row>
    <row r="491" spans="3:4" x14ac:dyDescent="0.25">
      <c r="C491"/>
      <c r="D491"/>
    </row>
    <row r="492" spans="3:4" x14ac:dyDescent="0.25">
      <c r="C492"/>
      <c r="D492"/>
    </row>
    <row r="493" spans="3:4" x14ac:dyDescent="0.25">
      <c r="C493"/>
      <c r="D493"/>
    </row>
    <row r="494" spans="3:4" x14ac:dyDescent="0.25">
      <c r="C494"/>
      <c r="D494"/>
    </row>
    <row r="495" spans="3:4" x14ac:dyDescent="0.25">
      <c r="C495"/>
      <c r="D495"/>
    </row>
    <row r="496" spans="3:4" x14ac:dyDescent="0.25">
      <c r="C496"/>
      <c r="D496"/>
    </row>
    <row r="497" spans="3:4" x14ac:dyDescent="0.25">
      <c r="C497"/>
      <c r="D497"/>
    </row>
    <row r="498" spans="3:4" x14ac:dyDescent="0.25">
      <c r="C498"/>
      <c r="D498"/>
    </row>
    <row r="499" spans="3:4" x14ac:dyDescent="0.25">
      <c r="C499"/>
      <c r="D499"/>
    </row>
    <row r="500" spans="3:4" x14ac:dyDescent="0.25">
      <c r="C500"/>
      <c r="D500"/>
    </row>
    <row r="501" spans="3:4" x14ac:dyDescent="0.25">
      <c r="C501"/>
      <c r="D501"/>
    </row>
    <row r="502" spans="3:4" x14ac:dyDescent="0.25">
      <c r="C502"/>
      <c r="D502"/>
    </row>
    <row r="503" spans="3:4" x14ac:dyDescent="0.25">
      <c r="C503"/>
      <c r="D503"/>
    </row>
    <row r="504" spans="3:4" x14ac:dyDescent="0.25">
      <c r="C504"/>
      <c r="D504"/>
    </row>
    <row r="505" spans="3:4" x14ac:dyDescent="0.25">
      <c r="C505"/>
      <c r="D505"/>
    </row>
    <row r="506" spans="3:4" x14ac:dyDescent="0.25">
      <c r="C506"/>
      <c r="D506"/>
    </row>
    <row r="507" spans="3:4" x14ac:dyDescent="0.25">
      <c r="C507"/>
      <c r="D507"/>
    </row>
    <row r="508" spans="3:4" x14ac:dyDescent="0.25">
      <c r="C508"/>
      <c r="D508"/>
    </row>
    <row r="509" spans="3:4" x14ac:dyDescent="0.25">
      <c r="C509"/>
      <c r="D509"/>
    </row>
    <row r="510" spans="3:4" x14ac:dyDescent="0.25">
      <c r="C510"/>
      <c r="D510"/>
    </row>
    <row r="511" spans="3:4" x14ac:dyDescent="0.25">
      <c r="C511"/>
      <c r="D511"/>
    </row>
    <row r="512" spans="3:4" x14ac:dyDescent="0.25">
      <c r="C512"/>
      <c r="D512"/>
    </row>
    <row r="513" spans="3:4" x14ac:dyDescent="0.25">
      <c r="C513"/>
      <c r="D513"/>
    </row>
    <row r="514" spans="3:4" x14ac:dyDescent="0.25">
      <c r="C514"/>
      <c r="D514"/>
    </row>
    <row r="515" spans="3:4" x14ac:dyDescent="0.25">
      <c r="C515"/>
      <c r="D515"/>
    </row>
    <row r="516" spans="3:4" x14ac:dyDescent="0.25">
      <c r="C516"/>
      <c r="D516"/>
    </row>
    <row r="517" spans="3:4" x14ac:dyDescent="0.25">
      <c r="C517"/>
      <c r="D517"/>
    </row>
    <row r="518" spans="3:4" x14ac:dyDescent="0.25">
      <c r="C518"/>
      <c r="D518"/>
    </row>
    <row r="519" spans="3:4" x14ac:dyDescent="0.25">
      <c r="C519"/>
      <c r="D519"/>
    </row>
    <row r="520" spans="3:4" x14ac:dyDescent="0.25">
      <c r="C520"/>
      <c r="D520"/>
    </row>
    <row r="521" spans="3:4" x14ac:dyDescent="0.25">
      <c r="C521"/>
      <c r="D521"/>
    </row>
    <row r="522" spans="3:4" x14ac:dyDescent="0.25">
      <c r="C522"/>
      <c r="D522"/>
    </row>
    <row r="523" spans="3:4" x14ac:dyDescent="0.25">
      <c r="C523"/>
      <c r="D523"/>
    </row>
    <row r="524" spans="3:4" x14ac:dyDescent="0.25">
      <c r="C524"/>
      <c r="D524"/>
    </row>
    <row r="525" spans="3:4" x14ac:dyDescent="0.25">
      <c r="C525"/>
      <c r="D525"/>
    </row>
    <row r="526" spans="3:4" x14ac:dyDescent="0.25">
      <c r="C526"/>
      <c r="D526"/>
    </row>
    <row r="527" spans="3:4" x14ac:dyDescent="0.25">
      <c r="C527"/>
      <c r="D527"/>
    </row>
    <row r="528" spans="3:4" x14ac:dyDescent="0.25">
      <c r="C528"/>
      <c r="D528"/>
    </row>
    <row r="529" spans="3:4" x14ac:dyDescent="0.25">
      <c r="C529"/>
      <c r="D529"/>
    </row>
    <row r="530" spans="3:4" x14ac:dyDescent="0.25">
      <c r="C530"/>
      <c r="D530"/>
    </row>
    <row r="531" spans="3:4" x14ac:dyDescent="0.25">
      <c r="C531"/>
      <c r="D531"/>
    </row>
    <row r="532" spans="3:4" x14ac:dyDescent="0.25">
      <c r="C532"/>
      <c r="D532"/>
    </row>
    <row r="533" spans="3:4" x14ac:dyDescent="0.25">
      <c r="C533"/>
      <c r="D533"/>
    </row>
    <row r="534" spans="3:4" x14ac:dyDescent="0.25">
      <c r="C534"/>
      <c r="D534"/>
    </row>
    <row r="535" spans="3:4" x14ac:dyDescent="0.25">
      <c r="C535"/>
      <c r="D535"/>
    </row>
    <row r="536" spans="3:4" x14ac:dyDescent="0.25">
      <c r="C536"/>
      <c r="D536"/>
    </row>
    <row r="537" spans="3:4" x14ac:dyDescent="0.25">
      <c r="C537"/>
      <c r="D537"/>
    </row>
    <row r="538" spans="3:4" x14ac:dyDescent="0.25">
      <c r="C538"/>
      <c r="D538"/>
    </row>
    <row r="539" spans="3:4" x14ac:dyDescent="0.25">
      <c r="C539"/>
      <c r="D539"/>
    </row>
    <row r="540" spans="3:4" x14ac:dyDescent="0.25">
      <c r="C540"/>
      <c r="D540"/>
    </row>
    <row r="541" spans="3:4" x14ac:dyDescent="0.25">
      <c r="C541"/>
      <c r="D541"/>
    </row>
    <row r="542" spans="3:4" x14ac:dyDescent="0.25">
      <c r="C542"/>
      <c r="D542"/>
    </row>
    <row r="543" spans="3:4" x14ac:dyDescent="0.25">
      <c r="C543"/>
      <c r="D543"/>
    </row>
    <row r="544" spans="3:4" x14ac:dyDescent="0.25">
      <c r="C544"/>
      <c r="D544"/>
    </row>
    <row r="545" spans="3:4" x14ac:dyDescent="0.25">
      <c r="C545"/>
      <c r="D545"/>
    </row>
    <row r="546" spans="3:4" x14ac:dyDescent="0.25">
      <c r="C546"/>
      <c r="D546"/>
    </row>
    <row r="547" spans="3:4" x14ac:dyDescent="0.25">
      <c r="C547"/>
      <c r="D547"/>
    </row>
    <row r="548" spans="3:4" x14ac:dyDescent="0.25">
      <c r="C548"/>
      <c r="D548"/>
    </row>
    <row r="549" spans="3:4" x14ac:dyDescent="0.25">
      <c r="C549"/>
      <c r="D549"/>
    </row>
    <row r="550" spans="3:4" x14ac:dyDescent="0.25">
      <c r="C550"/>
      <c r="D550"/>
    </row>
    <row r="551" spans="3:4" x14ac:dyDescent="0.25">
      <c r="C551"/>
      <c r="D551"/>
    </row>
    <row r="552" spans="3:4" x14ac:dyDescent="0.25">
      <c r="C552"/>
      <c r="D552"/>
    </row>
    <row r="553" spans="3:4" x14ac:dyDescent="0.25">
      <c r="C553"/>
      <c r="D553"/>
    </row>
    <row r="554" spans="3:4" x14ac:dyDescent="0.25">
      <c r="C554"/>
      <c r="D554"/>
    </row>
    <row r="555" spans="3:4" x14ac:dyDescent="0.25">
      <c r="C555"/>
      <c r="D555"/>
    </row>
    <row r="556" spans="3:4" x14ac:dyDescent="0.25">
      <c r="C556"/>
      <c r="D556"/>
    </row>
    <row r="557" spans="3:4" x14ac:dyDescent="0.25">
      <c r="C557"/>
      <c r="D557"/>
    </row>
    <row r="558" spans="3:4" x14ac:dyDescent="0.25">
      <c r="C558"/>
      <c r="D558"/>
    </row>
    <row r="559" spans="3:4" x14ac:dyDescent="0.25">
      <c r="C559"/>
      <c r="D559"/>
    </row>
    <row r="560" spans="3:4" x14ac:dyDescent="0.25">
      <c r="C560"/>
      <c r="D560"/>
    </row>
    <row r="561" spans="3:4" x14ac:dyDescent="0.25">
      <c r="C561"/>
      <c r="D561"/>
    </row>
    <row r="562" spans="3:4" x14ac:dyDescent="0.25">
      <c r="C562"/>
      <c r="D562"/>
    </row>
    <row r="563" spans="3:4" x14ac:dyDescent="0.25">
      <c r="C563"/>
      <c r="D563"/>
    </row>
    <row r="564" spans="3:4" x14ac:dyDescent="0.25">
      <c r="C564"/>
      <c r="D564"/>
    </row>
    <row r="565" spans="3:4" x14ac:dyDescent="0.25">
      <c r="C565"/>
      <c r="D565"/>
    </row>
    <row r="566" spans="3:4" x14ac:dyDescent="0.25">
      <c r="C566"/>
      <c r="D566"/>
    </row>
    <row r="567" spans="3:4" x14ac:dyDescent="0.25">
      <c r="C567"/>
      <c r="D567"/>
    </row>
    <row r="568" spans="3:4" x14ac:dyDescent="0.25">
      <c r="C568"/>
      <c r="D568"/>
    </row>
    <row r="569" spans="3:4" x14ac:dyDescent="0.25">
      <c r="C569"/>
      <c r="D569"/>
    </row>
    <row r="570" spans="3:4" x14ac:dyDescent="0.25">
      <c r="C570"/>
      <c r="D570"/>
    </row>
    <row r="571" spans="3:4" x14ac:dyDescent="0.25">
      <c r="C571"/>
      <c r="D571"/>
    </row>
    <row r="572" spans="3:4" x14ac:dyDescent="0.25">
      <c r="C572"/>
      <c r="D572"/>
    </row>
    <row r="573" spans="3:4" x14ac:dyDescent="0.25">
      <c r="C573"/>
      <c r="D573"/>
    </row>
    <row r="574" spans="3:4" x14ac:dyDescent="0.25">
      <c r="C574"/>
      <c r="D574"/>
    </row>
    <row r="575" spans="3:4" x14ac:dyDescent="0.25">
      <c r="C575"/>
      <c r="D575"/>
    </row>
    <row r="576" spans="3:4" x14ac:dyDescent="0.25">
      <c r="C576"/>
      <c r="D576"/>
    </row>
    <row r="577" spans="3:4" x14ac:dyDescent="0.25">
      <c r="C577"/>
      <c r="D577"/>
    </row>
    <row r="578" spans="3:4" x14ac:dyDescent="0.25">
      <c r="C578"/>
      <c r="D578"/>
    </row>
    <row r="579" spans="3:4" x14ac:dyDescent="0.25">
      <c r="C579"/>
      <c r="D579"/>
    </row>
    <row r="580" spans="3:4" x14ac:dyDescent="0.25">
      <c r="C580"/>
      <c r="D580"/>
    </row>
    <row r="581" spans="3:4" x14ac:dyDescent="0.25">
      <c r="C581"/>
      <c r="D581"/>
    </row>
    <row r="582" spans="3:4" x14ac:dyDescent="0.25">
      <c r="C582"/>
      <c r="D582"/>
    </row>
    <row r="583" spans="3:4" x14ac:dyDescent="0.25">
      <c r="C583"/>
      <c r="D583"/>
    </row>
    <row r="584" spans="3:4" x14ac:dyDescent="0.25">
      <c r="C584"/>
      <c r="D584"/>
    </row>
    <row r="585" spans="3:4" x14ac:dyDescent="0.25">
      <c r="C585"/>
      <c r="D585"/>
    </row>
    <row r="586" spans="3:4" x14ac:dyDescent="0.25">
      <c r="C586"/>
      <c r="D586"/>
    </row>
    <row r="587" spans="3:4" x14ac:dyDescent="0.25">
      <c r="C587"/>
      <c r="D587"/>
    </row>
    <row r="588" spans="3:4" x14ac:dyDescent="0.25">
      <c r="C588"/>
      <c r="D588"/>
    </row>
    <row r="589" spans="3:4" x14ac:dyDescent="0.25">
      <c r="C589"/>
      <c r="D589"/>
    </row>
    <row r="590" spans="3:4" x14ac:dyDescent="0.25">
      <c r="C590"/>
      <c r="D590"/>
    </row>
    <row r="591" spans="3:4" x14ac:dyDescent="0.25">
      <c r="C591"/>
      <c r="D591"/>
    </row>
    <row r="592" spans="3:4" x14ac:dyDescent="0.25">
      <c r="C592"/>
      <c r="D592"/>
    </row>
    <row r="593" spans="3:4" x14ac:dyDescent="0.25">
      <c r="C593"/>
      <c r="D593"/>
    </row>
    <row r="594" spans="3:4" x14ac:dyDescent="0.25">
      <c r="C594"/>
      <c r="D594"/>
    </row>
    <row r="595" spans="3:4" x14ac:dyDescent="0.25">
      <c r="C595"/>
      <c r="D595"/>
    </row>
    <row r="596" spans="3:4" x14ac:dyDescent="0.25">
      <c r="C596"/>
      <c r="D596"/>
    </row>
    <row r="597" spans="3:4" x14ac:dyDescent="0.25">
      <c r="C597"/>
      <c r="D597"/>
    </row>
    <row r="598" spans="3:4" x14ac:dyDescent="0.25">
      <c r="C598"/>
      <c r="D598"/>
    </row>
    <row r="599" spans="3:4" x14ac:dyDescent="0.25">
      <c r="C599"/>
      <c r="D599"/>
    </row>
    <row r="600" spans="3:4" x14ac:dyDescent="0.25">
      <c r="C600"/>
      <c r="D600"/>
    </row>
    <row r="601" spans="3:4" x14ac:dyDescent="0.25">
      <c r="C601"/>
      <c r="D601"/>
    </row>
    <row r="602" spans="3:4" x14ac:dyDescent="0.25">
      <c r="C602"/>
      <c r="D602"/>
    </row>
    <row r="603" spans="3:4" x14ac:dyDescent="0.25">
      <c r="C603"/>
      <c r="D603"/>
    </row>
    <row r="604" spans="3:4" x14ac:dyDescent="0.25">
      <c r="C604"/>
      <c r="D604"/>
    </row>
    <row r="605" spans="3:4" x14ac:dyDescent="0.25">
      <c r="C605"/>
      <c r="D605"/>
    </row>
    <row r="606" spans="3:4" x14ac:dyDescent="0.25">
      <c r="C606"/>
      <c r="D606"/>
    </row>
    <row r="607" spans="3:4" x14ac:dyDescent="0.25">
      <c r="C607"/>
      <c r="D607"/>
    </row>
    <row r="608" spans="3:4" x14ac:dyDescent="0.25">
      <c r="C608"/>
      <c r="D608"/>
    </row>
    <row r="609" spans="3:4" x14ac:dyDescent="0.25">
      <c r="C609"/>
      <c r="D609"/>
    </row>
    <row r="610" spans="3:4" x14ac:dyDescent="0.25">
      <c r="C610"/>
      <c r="D610"/>
    </row>
    <row r="611" spans="3:4" x14ac:dyDescent="0.25">
      <c r="C611"/>
      <c r="D611"/>
    </row>
    <row r="612" spans="3:4" x14ac:dyDescent="0.25">
      <c r="C612"/>
      <c r="D612"/>
    </row>
    <row r="613" spans="3:4" x14ac:dyDescent="0.25">
      <c r="C613"/>
      <c r="D613"/>
    </row>
    <row r="614" spans="3:4" x14ac:dyDescent="0.25">
      <c r="C614"/>
      <c r="D614"/>
    </row>
    <row r="615" spans="3:4" x14ac:dyDescent="0.25">
      <c r="C615"/>
      <c r="D615"/>
    </row>
    <row r="616" spans="3:4" x14ac:dyDescent="0.25">
      <c r="C616"/>
      <c r="D616"/>
    </row>
    <row r="617" spans="3:4" x14ac:dyDescent="0.25">
      <c r="C617"/>
      <c r="D617"/>
    </row>
    <row r="618" spans="3:4" x14ac:dyDescent="0.25">
      <c r="C618"/>
      <c r="D618"/>
    </row>
    <row r="619" spans="3:4" x14ac:dyDescent="0.25">
      <c r="C619"/>
      <c r="D619"/>
    </row>
    <row r="620" spans="3:4" x14ac:dyDescent="0.25">
      <c r="C620"/>
      <c r="D620"/>
    </row>
    <row r="621" spans="3:4" x14ac:dyDescent="0.25">
      <c r="C621"/>
      <c r="D621"/>
    </row>
    <row r="622" spans="3:4" x14ac:dyDescent="0.25">
      <c r="C622"/>
      <c r="D622"/>
    </row>
    <row r="623" spans="3:4" x14ac:dyDescent="0.25">
      <c r="C623"/>
      <c r="D623"/>
    </row>
    <row r="624" spans="3:4" x14ac:dyDescent="0.25">
      <c r="C624"/>
      <c r="D624"/>
    </row>
    <row r="625" spans="3:4" x14ac:dyDescent="0.25">
      <c r="C625"/>
      <c r="D625"/>
    </row>
    <row r="626" spans="3:4" x14ac:dyDescent="0.25">
      <c r="C626"/>
      <c r="D626"/>
    </row>
    <row r="627" spans="3:4" x14ac:dyDescent="0.25">
      <c r="C627"/>
      <c r="D627"/>
    </row>
    <row r="628" spans="3:4" x14ac:dyDescent="0.25">
      <c r="C628"/>
      <c r="D628"/>
    </row>
    <row r="629" spans="3:4" x14ac:dyDescent="0.25">
      <c r="C629"/>
      <c r="D629"/>
    </row>
    <row r="630" spans="3:4" x14ac:dyDescent="0.25">
      <c r="C630"/>
      <c r="D630"/>
    </row>
    <row r="631" spans="3:4" x14ac:dyDescent="0.25">
      <c r="C631"/>
      <c r="D631"/>
    </row>
    <row r="632" spans="3:4" x14ac:dyDescent="0.25">
      <c r="C632"/>
      <c r="D632"/>
    </row>
    <row r="633" spans="3:4" x14ac:dyDescent="0.25">
      <c r="C633"/>
      <c r="D633"/>
    </row>
    <row r="634" spans="3:4" x14ac:dyDescent="0.25">
      <c r="C634"/>
      <c r="D634"/>
    </row>
    <row r="635" spans="3:4" x14ac:dyDescent="0.25">
      <c r="C635"/>
      <c r="D635"/>
    </row>
    <row r="636" spans="3:4" x14ac:dyDescent="0.25">
      <c r="C636"/>
      <c r="D636"/>
    </row>
    <row r="637" spans="3:4" x14ac:dyDescent="0.25">
      <c r="C637"/>
      <c r="D637"/>
    </row>
    <row r="638" spans="3:4" x14ac:dyDescent="0.25">
      <c r="C638"/>
      <c r="D638"/>
    </row>
    <row r="639" spans="3:4" x14ac:dyDescent="0.25">
      <c r="C639"/>
      <c r="D639"/>
    </row>
    <row r="640" spans="3:4" x14ac:dyDescent="0.25">
      <c r="C640"/>
      <c r="D640"/>
    </row>
    <row r="641" spans="3:4" x14ac:dyDescent="0.25">
      <c r="C641"/>
      <c r="D641"/>
    </row>
    <row r="642" spans="3:4" x14ac:dyDescent="0.25">
      <c r="C642"/>
      <c r="D642"/>
    </row>
    <row r="643" spans="3:4" x14ac:dyDescent="0.25">
      <c r="C643"/>
      <c r="D643"/>
    </row>
    <row r="644" spans="3:4" x14ac:dyDescent="0.25">
      <c r="C644"/>
      <c r="D644"/>
    </row>
    <row r="645" spans="3:4" x14ac:dyDescent="0.25">
      <c r="C645"/>
      <c r="D645"/>
    </row>
    <row r="646" spans="3:4" x14ac:dyDescent="0.25">
      <c r="C646"/>
      <c r="D646"/>
    </row>
    <row r="647" spans="3:4" x14ac:dyDescent="0.25">
      <c r="C647"/>
      <c r="D647"/>
    </row>
    <row r="648" spans="3:4" x14ac:dyDescent="0.25">
      <c r="C648"/>
      <c r="D648"/>
    </row>
    <row r="649" spans="3:4" x14ac:dyDescent="0.25">
      <c r="C649"/>
      <c r="D649"/>
    </row>
    <row r="650" spans="3:4" x14ac:dyDescent="0.25">
      <c r="C650"/>
      <c r="D650"/>
    </row>
    <row r="651" spans="3:4" x14ac:dyDescent="0.25">
      <c r="C651"/>
      <c r="D651"/>
    </row>
    <row r="652" spans="3:4" x14ac:dyDescent="0.25">
      <c r="C652"/>
      <c r="D652"/>
    </row>
    <row r="653" spans="3:4" x14ac:dyDescent="0.25">
      <c r="C653"/>
      <c r="D653"/>
    </row>
    <row r="654" spans="3:4" x14ac:dyDescent="0.25">
      <c r="C654"/>
      <c r="D654"/>
    </row>
    <row r="655" spans="3:4" x14ac:dyDescent="0.25">
      <c r="C655"/>
      <c r="D655"/>
    </row>
    <row r="656" spans="3:4" x14ac:dyDescent="0.25">
      <c r="C656"/>
      <c r="D656"/>
    </row>
    <row r="657" spans="3:4" x14ac:dyDescent="0.25">
      <c r="C657"/>
      <c r="D657"/>
    </row>
    <row r="658" spans="3:4" x14ac:dyDescent="0.25">
      <c r="C658"/>
      <c r="D658"/>
    </row>
    <row r="659" spans="3:4" x14ac:dyDescent="0.25">
      <c r="C659"/>
      <c r="D659"/>
    </row>
    <row r="660" spans="3:4" x14ac:dyDescent="0.25">
      <c r="C660"/>
      <c r="D660"/>
    </row>
    <row r="661" spans="3:4" x14ac:dyDescent="0.25">
      <c r="C661"/>
      <c r="D661"/>
    </row>
    <row r="662" spans="3:4" x14ac:dyDescent="0.25">
      <c r="C662"/>
      <c r="D662"/>
    </row>
    <row r="663" spans="3:4" x14ac:dyDescent="0.25">
      <c r="C663"/>
      <c r="D663"/>
    </row>
    <row r="664" spans="3:4" x14ac:dyDescent="0.25">
      <c r="C664"/>
      <c r="D664"/>
    </row>
    <row r="665" spans="3:4" x14ac:dyDescent="0.25">
      <c r="C665"/>
      <c r="D665"/>
    </row>
    <row r="666" spans="3:4" x14ac:dyDescent="0.25">
      <c r="C666"/>
      <c r="D666"/>
    </row>
    <row r="667" spans="3:4" x14ac:dyDescent="0.25">
      <c r="C667"/>
      <c r="D667"/>
    </row>
    <row r="668" spans="3:4" x14ac:dyDescent="0.25">
      <c r="C668"/>
      <c r="D668"/>
    </row>
    <row r="669" spans="3:4" x14ac:dyDescent="0.25">
      <c r="C669"/>
      <c r="D669"/>
    </row>
    <row r="670" spans="3:4" x14ac:dyDescent="0.25">
      <c r="C670"/>
      <c r="D670"/>
    </row>
    <row r="671" spans="3:4" x14ac:dyDescent="0.25">
      <c r="C671"/>
      <c r="D671"/>
    </row>
    <row r="672" spans="3:4" x14ac:dyDescent="0.25">
      <c r="C672"/>
      <c r="D672"/>
    </row>
    <row r="673" spans="3:4" x14ac:dyDescent="0.25">
      <c r="C673"/>
      <c r="D673"/>
    </row>
    <row r="674" spans="3:4" x14ac:dyDescent="0.25">
      <c r="C674"/>
      <c r="D674"/>
    </row>
    <row r="675" spans="3:4" x14ac:dyDescent="0.25">
      <c r="C675"/>
      <c r="D675"/>
    </row>
    <row r="676" spans="3:4" x14ac:dyDescent="0.25">
      <c r="C676"/>
      <c r="D676"/>
    </row>
    <row r="677" spans="3:4" x14ac:dyDescent="0.25">
      <c r="C677"/>
      <c r="D677"/>
    </row>
    <row r="678" spans="3:4" x14ac:dyDescent="0.25">
      <c r="C678"/>
      <c r="D678"/>
    </row>
    <row r="679" spans="3:4" x14ac:dyDescent="0.25">
      <c r="C679"/>
      <c r="D679"/>
    </row>
    <row r="680" spans="3:4" x14ac:dyDescent="0.25">
      <c r="C680"/>
      <c r="D680"/>
    </row>
    <row r="681" spans="3:4" x14ac:dyDescent="0.25">
      <c r="C681"/>
      <c r="D681"/>
    </row>
    <row r="682" spans="3:4" x14ac:dyDescent="0.25">
      <c r="C682"/>
      <c r="D682"/>
    </row>
    <row r="683" spans="3:4" x14ac:dyDescent="0.25">
      <c r="C683"/>
      <c r="D683"/>
    </row>
    <row r="684" spans="3:4" x14ac:dyDescent="0.25">
      <c r="C684"/>
      <c r="D684"/>
    </row>
    <row r="685" spans="3:4" x14ac:dyDescent="0.25">
      <c r="C685"/>
      <c r="D685"/>
    </row>
    <row r="686" spans="3:4" x14ac:dyDescent="0.25">
      <c r="C686"/>
      <c r="D686"/>
    </row>
    <row r="687" spans="3:4" x14ac:dyDescent="0.25">
      <c r="C687"/>
      <c r="D687"/>
    </row>
    <row r="688" spans="3:4" x14ac:dyDescent="0.25">
      <c r="C688"/>
      <c r="D688"/>
    </row>
    <row r="689" spans="3:4" x14ac:dyDescent="0.25">
      <c r="C689"/>
      <c r="D689"/>
    </row>
    <row r="690" spans="3:4" x14ac:dyDescent="0.25">
      <c r="C690"/>
      <c r="D690"/>
    </row>
    <row r="691" spans="3:4" x14ac:dyDescent="0.25">
      <c r="C691"/>
      <c r="D691"/>
    </row>
    <row r="692" spans="3:4" x14ac:dyDescent="0.25">
      <c r="C692"/>
      <c r="D692"/>
    </row>
    <row r="693" spans="3:4" x14ac:dyDescent="0.25">
      <c r="C693"/>
      <c r="D693"/>
    </row>
    <row r="694" spans="3:4" x14ac:dyDescent="0.25">
      <c r="C694"/>
      <c r="D694"/>
    </row>
    <row r="695" spans="3:4" x14ac:dyDescent="0.25">
      <c r="C695"/>
      <c r="D695"/>
    </row>
    <row r="696" spans="3:4" x14ac:dyDescent="0.25">
      <c r="C696"/>
      <c r="D696"/>
    </row>
    <row r="697" spans="3:4" x14ac:dyDescent="0.25">
      <c r="C697"/>
      <c r="D697"/>
    </row>
    <row r="698" spans="3:4" x14ac:dyDescent="0.25">
      <c r="C698"/>
      <c r="D698"/>
    </row>
    <row r="699" spans="3:4" x14ac:dyDescent="0.25">
      <c r="C699"/>
      <c r="D699"/>
    </row>
    <row r="700" spans="3:4" x14ac:dyDescent="0.25">
      <c r="C700"/>
      <c r="D700"/>
    </row>
    <row r="701" spans="3:4" x14ac:dyDescent="0.25">
      <c r="C701"/>
      <c r="D701"/>
    </row>
    <row r="702" spans="3:4" x14ac:dyDescent="0.25">
      <c r="C702"/>
      <c r="D702"/>
    </row>
    <row r="703" spans="3:4" x14ac:dyDescent="0.25">
      <c r="C703"/>
      <c r="D703"/>
    </row>
    <row r="704" spans="3:4" x14ac:dyDescent="0.25">
      <c r="C704"/>
      <c r="D704"/>
    </row>
    <row r="705" spans="3:4" x14ac:dyDescent="0.25">
      <c r="C705"/>
      <c r="D705"/>
    </row>
    <row r="706" spans="3:4" x14ac:dyDescent="0.25">
      <c r="C706"/>
      <c r="D706"/>
    </row>
    <row r="707" spans="3:4" x14ac:dyDescent="0.25">
      <c r="C707"/>
      <c r="D707"/>
    </row>
    <row r="708" spans="3:4" x14ac:dyDescent="0.25">
      <c r="C708"/>
      <c r="D708"/>
    </row>
    <row r="709" spans="3:4" x14ac:dyDescent="0.25">
      <c r="C709"/>
      <c r="D709"/>
    </row>
    <row r="710" spans="3:4" x14ac:dyDescent="0.25">
      <c r="C710"/>
      <c r="D710"/>
    </row>
    <row r="711" spans="3:4" x14ac:dyDescent="0.25">
      <c r="C711"/>
      <c r="D711"/>
    </row>
    <row r="712" spans="3:4" x14ac:dyDescent="0.25">
      <c r="C712"/>
      <c r="D712"/>
    </row>
    <row r="713" spans="3:4" x14ac:dyDescent="0.25">
      <c r="C713"/>
      <c r="D713"/>
    </row>
    <row r="714" spans="3:4" x14ac:dyDescent="0.25">
      <c r="C714"/>
      <c r="D714"/>
    </row>
    <row r="715" spans="3:4" x14ac:dyDescent="0.25">
      <c r="C715"/>
      <c r="D715"/>
    </row>
    <row r="716" spans="3:4" x14ac:dyDescent="0.25">
      <c r="C716"/>
      <c r="D716"/>
    </row>
    <row r="717" spans="3:4" x14ac:dyDescent="0.25">
      <c r="C717"/>
      <c r="D717"/>
    </row>
    <row r="718" spans="3:4" x14ac:dyDescent="0.25">
      <c r="C718"/>
      <c r="D718"/>
    </row>
    <row r="719" spans="3:4" x14ac:dyDescent="0.25">
      <c r="C719"/>
      <c r="D719"/>
    </row>
    <row r="720" spans="3:4" x14ac:dyDescent="0.25">
      <c r="C720"/>
      <c r="D720"/>
    </row>
    <row r="721" spans="3:4" x14ac:dyDescent="0.25">
      <c r="C721"/>
      <c r="D721"/>
    </row>
    <row r="722" spans="3:4" x14ac:dyDescent="0.25">
      <c r="C722"/>
      <c r="D722"/>
    </row>
    <row r="723" spans="3:4" x14ac:dyDescent="0.25">
      <c r="C723"/>
      <c r="D723"/>
    </row>
    <row r="724" spans="3:4" x14ac:dyDescent="0.25">
      <c r="C724"/>
      <c r="D724"/>
    </row>
    <row r="725" spans="3:4" x14ac:dyDescent="0.25">
      <c r="C725"/>
      <c r="D725"/>
    </row>
    <row r="726" spans="3:4" x14ac:dyDescent="0.25">
      <c r="C726"/>
      <c r="D726"/>
    </row>
    <row r="727" spans="3:4" x14ac:dyDescent="0.25">
      <c r="C727"/>
      <c r="D727"/>
    </row>
    <row r="728" spans="3:4" x14ac:dyDescent="0.25">
      <c r="C728"/>
      <c r="D728"/>
    </row>
    <row r="729" spans="3:4" x14ac:dyDescent="0.25">
      <c r="C729"/>
      <c r="D729"/>
    </row>
    <row r="730" spans="3:4" x14ac:dyDescent="0.25">
      <c r="C730"/>
      <c r="D730"/>
    </row>
    <row r="731" spans="3:4" x14ac:dyDescent="0.25">
      <c r="C731"/>
      <c r="D731"/>
    </row>
    <row r="732" spans="3:4" x14ac:dyDescent="0.25">
      <c r="C732"/>
      <c r="D732"/>
    </row>
    <row r="733" spans="3:4" x14ac:dyDescent="0.25">
      <c r="C733"/>
      <c r="D733"/>
    </row>
    <row r="734" spans="3:4" x14ac:dyDescent="0.25">
      <c r="C734"/>
      <c r="D734"/>
    </row>
    <row r="735" spans="3:4" x14ac:dyDescent="0.25">
      <c r="C735"/>
      <c r="D735"/>
    </row>
    <row r="736" spans="3:4" x14ac:dyDescent="0.25">
      <c r="C736"/>
      <c r="D736"/>
    </row>
    <row r="737" spans="3:4" x14ac:dyDescent="0.25">
      <c r="C737"/>
      <c r="D737"/>
    </row>
    <row r="738" spans="3:4" x14ac:dyDescent="0.25">
      <c r="C738"/>
      <c r="D738"/>
    </row>
    <row r="739" spans="3:4" x14ac:dyDescent="0.25">
      <c r="C739"/>
      <c r="D739"/>
    </row>
    <row r="740" spans="3:4" x14ac:dyDescent="0.25">
      <c r="C740"/>
      <c r="D740"/>
    </row>
    <row r="741" spans="3:4" x14ac:dyDescent="0.25">
      <c r="C741"/>
      <c r="D741"/>
    </row>
    <row r="742" spans="3:4" x14ac:dyDescent="0.25">
      <c r="C742"/>
      <c r="D742"/>
    </row>
    <row r="743" spans="3:4" x14ac:dyDescent="0.25">
      <c r="C743"/>
      <c r="D743"/>
    </row>
    <row r="744" spans="3:4" x14ac:dyDescent="0.25">
      <c r="C744"/>
      <c r="D744"/>
    </row>
    <row r="745" spans="3:4" x14ac:dyDescent="0.25">
      <c r="C745"/>
      <c r="D745"/>
    </row>
    <row r="746" spans="3:4" x14ac:dyDescent="0.25">
      <c r="C746"/>
      <c r="D746"/>
    </row>
    <row r="747" spans="3:4" x14ac:dyDescent="0.25">
      <c r="C747"/>
      <c r="D747"/>
    </row>
    <row r="748" spans="3:4" x14ac:dyDescent="0.25">
      <c r="C748"/>
      <c r="D748"/>
    </row>
    <row r="749" spans="3:4" x14ac:dyDescent="0.25">
      <c r="C749"/>
      <c r="D749"/>
    </row>
    <row r="750" spans="3:4" x14ac:dyDescent="0.25">
      <c r="C750"/>
      <c r="D750"/>
    </row>
    <row r="751" spans="3:4" x14ac:dyDescent="0.25">
      <c r="C751"/>
      <c r="D751"/>
    </row>
    <row r="752" spans="3:4" x14ac:dyDescent="0.25">
      <c r="C752"/>
      <c r="D752"/>
    </row>
    <row r="753" spans="3:4" x14ac:dyDescent="0.25">
      <c r="C753"/>
      <c r="D753"/>
    </row>
    <row r="754" spans="3:4" x14ac:dyDescent="0.25">
      <c r="C754"/>
      <c r="D754"/>
    </row>
    <row r="755" spans="3:4" x14ac:dyDescent="0.25">
      <c r="C755"/>
      <c r="D755"/>
    </row>
    <row r="756" spans="3:4" x14ac:dyDescent="0.25">
      <c r="C756"/>
      <c r="D756"/>
    </row>
    <row r="757" spans="3:4" x14ac:dyDescent="0.25">
      <c r="C757"/>
      <c r="D757"/>
    </row>
    <row r="758" spans="3:4" x14ac:dyDescent="0.25">
      <c r="C758"/>
      <c r="D758"/>
    </row>
    <row r="759" spans="3:4" x14ac:dyDescent="0.25">
      <c r="C759"/>
      <c r="D759"/>
    </row>
    <row r="760" spans="3:4" x14ac:dyDescent="0.25">
      <c r="C760"/>
      <c r="D760"/>
    </row>
    <row r="761" spans="3:4" x14ac:dyDescent="0.25">
      <c r="C761"/>
      <c r="D761"/>
    </row>
    <row r="762" spans="3:4" x14ac:dyDescent="0.25">
      <c r="C762"/>
      <c r="D762"/>
    </row>
    <row r="763" spans="3:4" x14ac:dyDescent="0.25">
      <c r="C763"/>
      <c r="D763"/>
    </row>
    <row r="764" spans="3:4" x14ac:dyDescent="0.25">
      <c r="C764"/>
      <c r="D764"/>
    </row>
    <row r="765" spans="3:4" x14ac:dyDescent="0.25">
      <c r="C765"/>
      <c r="D765"/>
    </row>
    <row r="766" spans="3:4" x14ac:dyDescent="0.25">
      <c r="C766"/>
      <c r="D766"/>
    </row>
    <row r="767" spans="3:4" x14ac:dyDescent="0.25">
      <c r="C767"/>
      <c r="D767"/>
    </row>
    <row r="768" spans="3:4" x14ac:dyDescent="0.25">
      <c r="C768"/>
      <c r="D768"/>
    </row>
    <row r="769" spans="3:4" x14ac:dyDescent="0.25">
      <c r="C769"/>
      <c r="D769"/>
    </row>
    <row r="770" spans="3:4" x14ac:dyDescent="0.25">
      <c r="C770"/>
      <c r="D770"/>
    </row>
    <row r="771" spans="3:4" x14ac:dyDescent="0.25">
      <c r="C771"/>
      <c r="D771"/>
    </row>
    <row r="772" spans="3:4" x14ac:dyDescent="0.25">
      <c r="C772"/>
      <c r="D772"/>
    </row>
    <row r="773" spans="3:4" x14ac:dyDescent="0.25">
      <c r="C773"/>
      <c r="D773"/>
    </row>
    <row r="774" spans="3:4" x14ac:dyDescent="0.25">
      <c r="C774"/>
      <c r="D774"/>
    </row>
    <row r="775" spans="3:4" x14ac:dyDescent="0.25">
      <c r="C775"/>
      <c r="D775"/>
    </row>
    <row r="776" spans="3:4" x14ac:dyDescent="0.25">
      <c r="C776"/>
      <c r="D776"/>
    </row>
    <row r="777" spans="3:4" x14ac:dyDescent="0.25">
      <c r="C777"/>
      <c r="D777"/>
    </row>
    <row r="778" spans="3:4" x14ac:dyDescent="0.25">
      <c r="C778"/>
      <c r="D778"/>
    </row>
    <row r="779" spans="3:4" x14ac:dyDescent="0.25">
      <c r="C779"/>
      <c r="D779"/>
    </row>
    <row r="780" spans="3:4" x14ac:dyDescent="0.25">
      <c r="C780"/>
      <c r="D780"/>
    </row>
    <row r="781" spans="3:4" x14ac:dyDescent="0.25">
      <c r="C781"/>
      <c r="D781"/>
    </row>
    <row r="782" spans="3:4" x14ac:dyDescent="0.25">
      <c r="C782"/>
      <c r="D782"/>
    </row>
    <row r="783" spans="3:4" x14ac:dyDescent="0.25">
      <c r="C783"/>
      <c r="D783"/>
    </row>
    <row r="784" spans="3:4" x14ac:dyDescent="0.25">
      <c r="C784"/>
      <c r="D784"/>
    </row>
    <row r="785" spans="3:4" x14ac:dyDescent="0.25">
      <c r="C785"/>
      <c r="D785"/>
    </row>
    <row r="786" spans="3:4" x14ac:dyDescent="0.25">
      <c r="C786"/>
      <c r="D786"/>
    </row>
    <row r="787" spans="3:4" x14ac:dyDescent="0.25">
      <c r="C787"/>
      <c r="D787"/>
    </row>
    <row r="788" spans="3:4" x14ac:dyDescent="0.25">
      <c r="C788"/>
      <c r="D788"/>
    </row>
    <row r="789" spans="3:4" x14ac:dyDescent="0.25">
      <c r="C789"/>
      <c r="D789"/>
    </row>
    <row r="790" spans="3:4" x14ac:dyDescent="0.25">
      <c r="C790"/>
      <c r="D790"/>
    </row>
    <row r="791" spans="3:4" x14ac:dyDescent="0.25">
      <c r="C791"/>
      <c r="D791"/>
    </row>
    <row r="792" spans="3:4" x14ac:dyDescent="0.25">
      <c r="C792"/>
      <c r="D792"/>
    </row>
    <row r="793" spans="3:4" x14ac:dyDescent="0.25">
      <c r="C793"/>
      <c r="D793"/>
    </row>
    <row r="794" spans="3:4" x14ac:dyDescent="0.25">
      <c r="C794"/>
      <c r="D794"/>
    </row>
    <row r="795" spans="3:4" x14ac:dyDescent="0.25">
      <c r="C795"/>
      <c r="D795"/>
    </row>
    <row r="796" spans="3:4" x14ac:dyDescent="0.25">
      <c r="C796"/>
      <c r="D796"/>
    </row>
    <row r="797" spans="3:4" x14ac:dyDescent="0.25">
      <c r="C797"/>
      <c r="D797"/>
    </row>
    <row r="798" spans="3:4" x14ac:dyDescent="0.25">
      <c r="C798"/>
      <c r="D798"/>
    </row>
    <row r="799" spans="3:4" x14ac:dyDescent="0.25">
      <c r="C799"/>
      <c r="D799"/>
    </row>
    <row r="800" spans="3:4" x14ac:dyDescent="0.25">
      <c r="C800"/>
      <c r="D800"/>
    </row>
    <row r="801" spans="3:4" x14ac:dyDescent="0.25">
      <c r="C801"/>
      <c r="D801"/>
    </row>
    <row r="802" spans="3:4" x14ac:dyDescent="0.25">
      <c r="C802"/>
      <c r="D802"/>
    </row>
    <row r="803" spans="3:4" x14ac:dyDescent="0.25">
      <c r="C803"/>
      <c r="D803"/>
    </row>
    <row r="804" spans="3:4" x14ac:dyDescent="0.25">
      <c r="C804"/>
      <c r="D804"/>
    </row>
    <row r="805" spans="3:4" x14ac:dyDescent="0.25">
      <c r="C805"/>
      <c r="D805"/>
    </row>
    <row r="806" spans="3:4" x14ac:dyDescent="0.25">
      <c r="C806"/>
      <c r="D806"/>
    </row>
    <row r="807" spans="3:4" x14ac:dyDescent="0.25">
      <c r="C807"/>
      <c r="D807"/>
    </row>
    <row r="808" spans="3:4" x14ac:dyDescent="0.25">
      <c r="C808"/>
      <c r="D808"/>
    </row>
    <row r="809" spans="3:4" x14ac:dyDescent="0.25">
      <c r="C809"/>
      <c r="D809"/>
    </row>
    <row r="810" spans="3:4" x14ac:dyDescent="0.25">
      <c r="C810"/>
      <c r="D810"/>
    </row>
    <row r="811" spans="3:4" x14ac:dyDescent="0.25">
      <c r="C811"/>
      <c r="D811"/>
    </row>
    <row r="812" spans="3:4" x14ac:dyDescent="0.25">
      <c r="C812"/>
      <c r="D812"/>
    </row>
    <row r="813" spans="3:4" x14ac:dyDescent="0.25">
      <c r="C813"/>
      <c r="D813"/>
    </row>
    <row r="814" spans="3:4" x14ac:dyDescent="0.25">
      <c r="C814"/>
      <c r="D814"/>
    </row>
    <row r="815" spans="3:4" x14ac:dyDescent="0.25">
      <c r="C815"/>
      <c r="D815"/>
    </row>
    <row r="816" spans="3:4" x14ac:dyDescent="0.25">
      <c r="C816"/>
      <c r="D816"/>
    </row>
    <row r="817" spans="3:4" x14ac:dyDescent="0.25">
      <c r="C817"/>
      <c r="D817"/>
    </row>
    <row r="818" spans="3:4" x14ac:dyDescent="0.25">
      <c r="C818"/>
      <c r="D818"/>
    </row>
    <row r="819" spans="3:4" x14ac:dyDescent="0.25">
      <c r="C819"/>
      <c r="D819"/>
    </row>
    <row r="820" spans="3:4" x14ac:dyDescent="0.25">
      <c r="C820"/>
      <c r="D820"/>
    </row>
    <row r="821" spans="3:4" x14ac:dyDescent="0.25">
      <c r="C821"/>
      <c r="D821"/>
    </row>
    <row r="822" spans="3:4" x14ac:dyDescent="0.25">
      <c r="C822"/>
      <c r="D822"/>
    </row>
    <row r="823" spans="3:4" x14ac:dyDescent="0.25">
      <c r="C823"/>
      <c r="D823"/>
    </row>
    <row r="824" spans="3:4" x14ac:dyDescent="0.25">
      <c r="C824"/>
      <c r="D824"/>
    </row>
    <row r="825" spans="3:4" x14ac:dyDescent="0.25">
      <c r="C825"/>
      <c r="D825"/>
    </row>
    <row r="826" spans="3:4" x14ac:dyDescent="0.25">
      <c r="C826"/>
      <c r="D826"/>
    </row>
    <row r="827" spans="3:4" x14ac:dyDescent="0.25">
      <c r="C827"/>
      <c r="D827"/>
    </row>
    <row r="828" spans="3:4" x14ac:dyDescent="0.25">
      <c r="C828"/>
      <c r="D828"/>
    </row>
    <row r="829" spans="3:4" x14ac:dyDescent="0.25">
      <c r="C829"/>
      <c r="D829"/>
    </row>
    <row r="830" spans="3:4" x14ac:dyDescent="0.25">
      <c r="C830"/>
      <c r="D830"/>
    </row>
    <row r="831" spans="3:4" x14ac:dyDescent="0.25">
      <c r="C831"/>
      <c r="D831"/>
    </row>
    <row r="832" spans="3:4" x14ac:dyDescent="0.25">
      <c r="C832"/>
      <c r="D832"/>
    </row>
    <row r="833" spans="3:4" x14ac:dyDescent="0.25">
      <c r="C833"/>
      <c r="D833"/>
    </row>
    <row r="834" spans="3:4" x14ac:dyDescent="0.25">
      <c r="C834"/>
      <c r="D834"/>
    </row>
    <row r="835" spans="3:4" x14ac:dyDescent="0.25">
      <c r="C835"/>
      <c r="D835"/>
    </row>
    <row r="836" spans="3:4" x14ac:dyDescent="0.25">
      <c r="C836"/>
      <c r="D836"/>
    </row>
    <row r="837" spans="3:4" x14ac:dyDescent="0.25">
      <c r="C837"/>
      <c r="D837"/>
    </row>
    <row r="838" spans="3:4" x14ac:dyDescent="0.25">
      <c r="C838"/>
      <c r="D838"/>
    </row>
    <row r="839" spans="3:4" x14ac:dyDescent="0.25">
      <c r="C839"/>
      <c r="D839"/>
    </row>
    <row r="840" spans="3:4" x14ac:dyDescent="0.25">
      <c r="C840"/>
      <c r="D840"/>
    </row>
    <row r="841" spans="3:4" x14ac:dyDescent="0.25">
      <c r="C841"/>
      <c r="D841"/>
    </row>
    <row r="842" spans="3:4" x14ac:dyDescent="0.25">
      <c r="C842"/>
      <c r="D842"/>
    </row>
    <row r="843" spans="3:4" x14ac:dyDescent="0.25">
      <c r="C843"/>
      <c r="D843"/>
    </row>
    <row r="844" spans="3:4" x14ac:dyDescent="0.25">
      <c r="C844"/>
      <c r="D844"/>
    </row>
    <row r="845" spans="3:4" x14ac:dyDescent="0.25">
      <c r="C845"/>
      <c r="D845"/>
    </row>
    <row r="846" spans="3:4" x14ac:dyDescent="0.25">
      <c r="C846"/>
      <c r="D846"/>
    </row>
    <row r="847" spans="3:4" x14ac:dyDescent="0.25">
      <c r="C847"/>
      <c r="D847"/>
    </row>
    <row r="848" spans="3:4" x14ac:dyDescent="0.25">
      <c r="C848"/>
      <c r="D848"/>
    </row>
    <row r="849" spans="3:4" x14ac:dyDescent="0.25">
      <c r="C849"/>
      <c r="D849"/>
    </row>
    <row r="850" spans="3:4" x14ac:dyDescent="0.25">
      <c r="C850"/>
      <c r="D850"/>
    </row>
    <row r="851" spans="3:4" x14ac:dyDescent="0.25">
      <c r="C851"/>
      <c r="D851"/>
    </row>
    <row r="852" spans="3:4" x14ac:dyDescent="0.25">
      <c r="C852"/>
      <c r="D852"/>
    </row>
    <row r="853" spans="3:4" x14ac:dyDescent="0.25">
      <c r="C853"/>
      <c r="D853"/>
    </row>
    <row r="854" spans="3:4" x14ac:dyDescent="0.25">
      <c r="C854"/>
      <c r="D854"/>
    </row>
    <row r="855" spans="3:4" x14ac:dyDescent="0.25">
      <c r="C855"/>
      <c r="D855"/>
    </row>
    <row r="856" spans="3:4" x14ac:dyDescent="0.25">
      <c r="C856"/>
      <c r="D856"/>
    </row>
    <row r="857" spans="3:4" x14ac:dyDescent="0.25">
      <c r="C857"/>
      <c r="D857"/>
    </row>
    <row r="858" spans="3:4" x14ac:dyDescent="0.25">
      <c r="C858"/>
      <c r="D858"/>
    </row>
    <row r="859" spans="3:4" x14ac:dyDescent="0.25">
      <c r="C859"/>
      <c r="D859"/>
    </row>
    <row r="860" spans="3:4" x14ac:dyDescent="0.25">
      <c r="C860"/>
      <c r="D860"/>
    </row>
    <row r="861" spans="3:4" x14ac:dyDescent="0.25">
      <c r="C861"/>
      <c r="D861"/>
    </row>
    <row r="862" spans="3:4" x14ac:dyDescent="0.25">
      <c r="C862"/>
      <c r="D862"/>
    </row>
    <row r="863" spans="3:4" x14ac:dyDescent="0.25">
      <c r="C863"/>
      <c r="D863"/>
    </row>
    <row r="864" spans="3:4" x14ac:dyDescent="0.25">
      <c r="C864"/>
      <c r="D864"/>
    </row>
    <row r="865" spans="3:4" x14ac:dyDescent="0.25">
      <c r="C865"/>
      <c r="D865"/>
    </row>
    <row r="866" spans="3:4" x14ac:dyDescent="0.25">
      <c r="C866"/>
      <c r="D866"/>
    </row>
    <row r="867" spans="3:4" x14ac:dyDescent="0.25">
      <c r="C867"/>
      <c r="D867"/>
    </row>
    <row r="868" spans="3:4" x14ac:dyDescent="0.25">
      <c r="C868"/>
      <c r="D868"/>
    </row>
    <row r="869" spans="3:4" x14ac:dyDescent="0.25">
      <c r="C869"/>
      <c r="D869"/>
    </row>
    <row r="870" spans="3:4" x14ac:dyDescent="0.25">
      <c r="C870"/>
      <c r="D870"/>
    </row>
    <row r="871" spans="3:4" x14ac:dyDescent="0.25">
      <c r="C871"/>
      <c r="D871"/>
    </row>
    <row r="872" spans="3:4" x14ac:dyDescent="0.25">
      <c r="C872"/>
      <c r="D872"/>
    </row>
    <row r="873" spans="3:4" x14ac:dyDescent="0.25">
      <c r="C873"/>
      <c r="D873"/>
    </row>
    <row r="874" spans="3:4" x14ac:dyDescent="0.25">
      <c r="C874"/>
      <c r="D874"/>
    </row>
    <row r="875" spans="3:4" x14ac:dyDescent="0.25">
      <c r="C875"/>
      <c r="D875"/>
    </row>
    <row r="876" spans="3:4" x14ac:dyDescent="0.25">
      <c r="C876"/>
      <c r="D876"/>
    </row>
    <row r="877" spans="3:4" x14ac:dyDescent="0.25">
      <c r="C877"/>
      <c r="D877"/>
    </row>
    <row r="878" spans="3:4" x14ac:dyDescent="0.25">
      <c r="C878"/>
      <c r="D878"/>
    </row>
    <row r="879" spans="3:4" x14ac:dyDescent="0.25">
      <c r="C879"/>
      <c r="D879"/>
    </row>
    <row r="880" spans="3:4" x14ac:dyDescent="0.25">
      <c r="C880"/>
      <c r="D880"/>
    </row>
    <row r="881" spans="3:4" x14ac:dyDescent="0.25">
      <c r="C881"/>
      <c r="D881"/>
    </row>
    <row r="882" spans="3:4" x14ac:dyDescent="0.25">
      <c r="C882"/>
      <c r="D882"/>
    </row>
    <row r="883" spans="3:4" x14ac:dyDescent="0.25">
      <c r="C883"/>
      <c r="D883"/>
    </row>
    <row r="884" spans="3:4" x14ac:dyDescent="0.25">
      <c r="C884"/>
      <c r="D884"/>
    </row>
    <row r="885" spans="3:4" x14ac:dyDescent="0.25">
      <c r="C885"/>
      <c r="D885"/>
    </row>
    <row r="886" spans="3:4" x14ac:dyDescent="0.25">
      <c r="C886"/>
      <c r="D886"/>
    </row>
    <row r="887" spans="3:4" x14ac:dyDescent="0.25">
      <c r="C887"/>
      <c r="D887"/>
    </row>
    <row r="888" spans="3:4" x14ac:dyDescent="0.25">
      <c r="C888"/>
      <c r="D888"/>
    </row>
    <row r="889" spans="3:4" x14ac:dyDescent="0.25">
      <c r="C889"/>
      <c r="D889"/>
    </row>
    <row r="890" spans="3:4" x14ac:dyDescent="0.25">
      <c r="C890"/>
      <c r="D890"/>
    </row>
    <row r="891" spans="3:4" x14ac:dyDescent="0.25">
      <c r="C891"/>
      <c r="D891"/>
    </row>
    <row r="892" spans="3:4" x14ac:dyDescent="0.25">
      <c r="C892"/>
      <c r="D892"/>
    </row>
    <row r="893" spans="3:4" x14ac:dyDescent="0.25">
      <c r="C893"/>
      <c r="D893"/>
    </row>
    <row r="894" spans="3:4" x14ac:dyDescent="0.25">
      <c r="C894"/>
      <c r="D894"/>
    </row>
    <row r="895" spans="3:4" x14ac:dyDescent="0.25">
      <c r="C895"/>
      <c r="D895"/>
    </row>
    <row r="896" spans="3:4" x14ac:dyDescent="0.25">
      <c r="C896"/>
      <c r="D896"/>
    </row>
    <row r="897" spans="3:4" x14ac:dyDescent="0.25">
      <c r="C897"/>
      <c r="D897"/>
    </row>
    <row r="898" spans="3:4" x14ac:dyDescent="0.25">
      <c r="C898"/>
      <c r="D898"/>
    </row>
    <row r="899" spans="3:4" x14ac:dyDescent="0.25">
      <c r="C899"/>
      <c r="D899"/>
    </row>
    <row r="900" spans="3:4" x14ac:dyDescent="0.25">
      <c r="C900"/>
      <c r="D900"/>
    </row>
    <row r="901" spans="3:4" x14ac:dyDescent="0.25">
      <c r="C901"/>
      <c r="D901"/>
    </row>
    <row r="902" spans="3:4" x14ac:dyDescent="0.25">
      <c r="C902"/>
      <c r="D902"/>
    </row>
    <row r="903" spans="3:4" x14ac:dyDescent="0.25">
      <c r="C903"/>
      <c r="D903"/>
    </row>
    <row r="904" spans="3:4" x14ac:dyDescent="0.25">
      <c r="C904"/>
      <c r="D904"/>
    </row>
    <row r="905" spans="3:4" x14ac:dyDescent="0.25">
      <c r="C905"/>
      <c r="D905"/>
    </row>
    <row r="906" spans="3:4" x14ac:dyDescent="0.25">
      <c r="C906"/>
      <c r="D906"/>
    </row>
    <row r="907" spans="3:4" x14ac:dyDescent="0.25">
      <c r="C907"/>
      <c r="D907"/>
    </row>
    <row r="908" spans="3:4" x14ac:dyDescent="0.25">
      <c r="C908"/>
      <c r="D908"/>
    </row>
    <row r="909" spans="3:4" x14ac:dyDescent="0.25">
      <c r="C909"/>
      <c r="D909"/>
    </row>
    <row r="910" spans="3:4" x14ac:dyDescent="0.25">
      <c r="C910"/>
      <c r="D910"/>
    </row>
    <row r="911" spans="3:4" x14ac:dyDescent="0.25">
      <c r="C911"/>
      <c r="D911"/>
    </row>
    <row r="912" spans="3:4" x14ac:dyDescent="0.25">
      <c r="C912"/>
      <c r="D912"/>
    </row>
    <row r="913" spans="3:4" x14ac:dyDescent="0.25">
      <c r="C913"/>
      <c r="D913"/>
    </row>
    <row r="914" spans="3:4" x14ac:dyDescent="0.25">
      <c r="C914"/>
      <c r="D914"/>
    </row>
    <row r="915" spans="3:4" x14ac:dyDescent="0.25">
      <c r="C915"/>
      <c r="D915"/>
    </row>
    <row r="916" spans="3:4" x14ac:dyDescent="0.25">
      <c r="C916"/>
      <c r="D916"/>
    </row>
    <row r="917" spans="3:4" x14ac:dyDescent="0.25">
      <c r="C917"/>
      <c r="D917"/>
    </row>
    <row r="918" spans="3:4" x14ac:dyDescent="0.25">
      <c r="C918"/>
      <c r="D918"/>
    </row>
    <row r="919" spans="3:4" x14ac:dyDescent="0.25">
      <c r="C919"/>
      <c r="D919"/>
    </row>
    <row r="920" spans="3:4" x14ac:dyDescent="0.25">
      <c r="C920"/>
      <c r="D920"/>
    </row>
    <row r="921" spans="3:4" x14ac:dyDescent="0.25">
      <c r="C921"/>
      <c r="D921"/>
    </row>
    <row r="922" spans="3:4" x14ac:dyDescent="0.25">
      <c r="C922"/>
      <c r="D922"/>
    </row>
    <row r="923" spans="3:4" x14ac:dyDescent="0.25">
      <c r="C923"/>
      <c r="D923"/>
    </row>
    <row r="924" spans="3:4" x14ac:dyDescent="0.25">
      <c r="C924"/>
      <c r="D924"/>
    </row>
    <row r="925" spans="3:4" x14ac:dyDescent="0.25">
      <c r="C925"/>
      <c r="D925"/>
    </row>
    <row r="926" spans="3:4" x14ac:dyDescent="0.25">
      <c r="C926"/>
      <c r="D926"/>
    </row>
    <row r="927" spans="3:4" x14ac:dyDescent="0.25">
      <c r="C927"/>
      <c r="D927"/>
    </row>
    <row r="928" spans="3:4" x14ac:dyDescent="0.25">
      <c r="C928"/>
      <c r="D928"/>
    </row>
    <row r="929" spans="3:4" x14ac:dyDescent="0.25">
      <c r="C929"/>
      <c r="D929"/>
    </row>
    <row r="930" spans="3:4" x14ac:dyDescent="0.25">
      <c r="C930"/>
      <c r="D930"/>
    </row>
    <row r="931" spans="3:4" x14ac:dyDescent="0.25">
      <c r="C931"/>
      <c r="D931"/>
    </row>
    <row r="932" spans="3:4" x14ac:dyDescent="0.25">
      <c r="C932"/>
      <c r="D932"/>
    </row>
    <row r="933" spans="3:4" x14ac:dyDescent="0.25">
      <c r="C933"/>
      <c r="D933"/>
    </row>
    <row r="934" spans="3:4" x14ac:dyDescent="0.25">
      <c r="C934"/>
      <c r="D934"/>
    </row>
    <row r="935" spans="3:4" x14ac:dyDescent="0.25">
      <c r="C935"/>
      <c r="D935"/>
    </row>
    <row r="936" spans="3:4" x14ac:dyDescent="0.25">
      <c r="C936"/>
      <c r="D936"/>
    </row>
    <row r="937" spans="3:4" x14ac:dyDescent="0.25">
      <c r="C937"/>
      <c r="D937"/>
    </row>
    <row r="938" spans="3:4" x14ac:dyDescent="0.25">
      <c r="C938"/>
      <c r="D938"/>
    </row>
    <row r="939" spans="3:4" x14ac:dyDescent="0.25">
      <c r="C939"/>
      <c r="D939"/>
    </row>
    <row r="940" spans="3:4" x14ac:dyDescent="0.25">
      <c r="C940"/>
      <c r="D940"/>
    </row>
    <row r="941" spans="3:4" x14ac:dyDescent="0.25">
      <c r="C941"/>
      <c r="D941"/>
    </row>
    <row r="942" spans="3:4" x14ac:dyDescent="0.25">
      <c r="C942"/>
      <c r="D942"/>
    </row>
    <row r="943" spans="3:4" x14ac:dyDescent="0.25">
      <c r="C943"/>
      <c r="D943"/>
    </row>
    <row r="944" spans="3:4" x14ac:dyDescent="0.25">
      <c r="C944"/>
      <c r="D944"/>
    </row>
    <row r="945" spans="3:4" x14ac:dyDescent="0.25">
      <c r="C945"/>
      <c r="D945"/>
    </row>
    <row r="946" spans="3:4" x14ac:dyDescent="0.25">
      <c r="C946"/>
      <c r="D946"/>
    </row>
    <row r="947" spans="3:4" x14ac:dyDescent="0.25">
      <c r="C947"/>
      <c r="D947"/>
    </row>
    <row r="948" spans="3:4" x14ac:dyDescent="0.25">
      <c r="C948"/>
      <c r="D948"/>
    </row>
    <row r="949" spans="3:4" x14ac:dyDescent="0.25">
      <c r="C949"/>
      <c r="D949"/>
    </row>
    <row r="950" spans="3:4" x14ac:dyDescent="0.25">
      <c r="C950"/>
      <c r="D950"/>
    </row>
    <row r="951" spans="3:4" x14ac:dyDescent="0.25">
      <c r="C951"/>
      <c r="D951"/>
    </row>
    <row r="952" spans="3:4" x14ac:dyDescent="0.25">
      <c r="C952"/>
      <c r="D952"/>
    </row>
    <row r="953" spans="3:4" x14ac:dyDescent="0.25">
      <c r="C953"/>
      <c r="D953"/>
    </row>
    <row r="954" spans="3:4" x14ac:dyDescent="0.25">
      <c r="C954"/>
      <c r="D954"/>
    </row>
    <row r="955" spans="3:4" x14ac:dyDescent="0.25">
      <c r="C955"/>
      <c r="D955"/>
    </row>
    <row r="956" spans="3:4" x14ac:dyDescent="0.25">
      <c r="C956"/>
      <c r="D956"/>
    </row>
    <row r="957" spans="3:4" x14ac:dyDescent="0.25">
      <c r="C957"/>
      <c r="D957"/>
    </row>
    <row r="958" spans="3:4" x14ac:dyDescent="0.25">
      <c r="C958"/>
      <c r="D958"/>
    </row>
    <row r="959" spans="3:4" x14ac:dyDescent="0.25">
      <c r="C959"/>
      <c r="D959"/>
    </row>
    <row r="960" spans="3:4" x14ac:dyDescent="0.25">
      <c r="C960"/>
      <c r="D960"/>
    </row>
    <row r="961" spans="3:4" x14ac:dyDescent="0.25">
      <c r="C961"/>
      <c r="D961"/>
    </row>
    <row r="962" spans="3:4" x14ac:dyDescent="0.25">
      <c r="C962"/>
      <c r="D962"/>
    </row>
    <row r="963" spans="3:4" x14ac:dyDescent="0.25">
      <c r="C963"/>
      <c r="D963"/>
    </row>
    <row r="964" spans="3:4" x14ac:dyDescent="0.25">
      <c r="C964"/>
      <c r="D964"/>
    </row>
    <row r="965" spans="3:4" x14ac:dyDescent="0.25">
      <c r="C965"/>
      <c r="D965"/>
    </row>
    <row r="966" spans="3:4" x14ac:dyDescent="0.25">
      <c r="C966"/>
      <c r="D966"/>
    </row>
    <row r="967" spans="3:4" x14ac:dyDescent="0.25">
      <c r="C967"/>
      <c r="D967"/>
    </row>
    <row r="968" spans="3:4" x14ac:dyDescent="0.25">
      <c r="C968"/>
      <c r="D968"/>
    </row>
    <row r="969" spans="3:4" x14ac:dyDescent="0.25">
      <c r="C969"/>
      <c r="D969"/>
    </row>
    <row r="970" spans="3:4" x14ac:dyDescent="0.25">
      <c r="C970"/>
      <c r="D970"/>
    </row>
    <row r="971" spans="3:4" x14ac:dyDescent="0.25">
      <c r="C971"/>
      <c r="D971"/>
    </row>
    <row r="972" spans="3:4" x14ac:dyDescent="0.25">
      <c r="C972"/>
      <c r="D972"/>
    </row>
    <row r="973" spans="3:4" x14ac:dyDescent="0.25">
      <c r="C973"/>
      <c r="D973"/>
    </row>
    <row r="974" spans="3:4" x14ac:dyDescent="0.25">
      <c r="C974"/>
      <c r="D974"/>
    </row>
    <row r="975" spans="3:4" x14ac:dyDescent="0.25">
      <c r="C975"/>
      <c r="D975"/>
    </row>
    <row r="976" spans="3:4" x14ac:dyDescent="0.25">
      <c r="C976"/>
      <c r="D976"/>
    </row>
    <row r="977" spans="3:4" x14ac:dyDescent="0.25">
      <c r="C977"/>
      <c r="D977"/>
    </row>
    <row r="978" spans="3:4" x14ac:dyDescent="0.25">
      <c r="C978"/>
      <c r="D978"/>
    </row>
    <row r="979" spans="3:4" x14ac:dyDescent="0.25">
      <c r="C979"/>
      <c r="D979"/>
    </row>
    <row r="980" spans="3:4" x14ac:dyDescent="0.25">
      <c r="C980"/>
      <c r="D980"/>
    </row>
    <row r="981" spans="3:4" x14ac:dyDescent="0.25">
      <c r="C981"/>
      <c r="D981"/>
    </row>
    <row r="982" spans="3:4" x14ac:dyDescent="0.25">
      <c r="C982"/>
      <c r="D982"/>
    </row>
    <row r="983" spans="3:4" x14ac:dyDescent="0.25">
      <c r="C983"/>
      <c r="D983"/>
    </row>
    <row r="984" spans="3:4" x14ac:dyDescent="0.25">
      <c r="C984"/>
      <c r="D984"/>
    </row>
    <row r="985" spans="3:4" x14ac:dyDescent="0.25">
      <c r="C985"/>
      <c r="D985"/>
    </row>
    <row r="986" spans="3:4" x14ac:dyDescent="0.25">
      <c r="C986"/>
      <c r="D986"/>
    </row>
    <row r="987" spans="3:4" x14ac:dyDescent="0.25">
      <c r="C987"/>
      <c r="D987"/>
    </row>
    <row r="988" spans="3:4" x14ac:dyDescent="0.25">
      <c r="C988"/>
      <c r="D988"/>
    </row>
    <row r="989" spans="3:4" x14ac:dyDescent="0.25">
      <c r="C989"/>
      <c r="D989"/>
    </row>
    <row r="990" spans="3:4" x14ac:dyDescent="0.25">
      <c r="C990"/>
      <c r="D990"/>
    </row>
    <row r="991" spans="3:4" x14ac:dyDescent="0.25">
      <c r="C991"/>
      <c r="D991"/>
    </row>
    <row r="992" spans="3:4" x14ac:dyDescent="0.25">
      <c r="C992"/>
      <c r="D992"/>
    </row>
    <row r="993" spans="3:4" x14ac:dyDescent="0.25">
      <c r="C993"/>
      <c r="D993"/>
    </row>
    <row r="994" spans="3:4" x14ac:dyDescent="0.25">
      <c r="C994"/>
      <c r="D994"/>
    </row>
    <row r="995" spans="3:4" x14ac:dyDescent="0.25">
      <c r="C995"/>
      <c r="D995"/>
    </row>
    <row r="996" spans="3:4" x14ac:dyDescent="0.25">
      <c r="C996"/>
      <c r="D996"/>
    </row>
    <row r="997" spans="3:4" x14ac:dyDescent="0.25">
      <c r="C997"/>
      <c r="D997"/>
    </row>
    <row r="998" spans="3:4" x14ac:dyDescent="0.25">
      <c r="C998"/>
      <c r="D998"/>
    </row>
    <row r="999" spans="3:4" x14ac:dyDescent="0.25">
      <c r="C999"/>
      <c r="D999"/>
    </row>
    <row r="1000" spans="3:4" x14ac:dyDescent="0.25">
      <c r="C1000"/>
      <c r="D1000"/>
    </row>
    <row r="1001" spans="3:4" x14ac:dyDescent="0.25">
      <c r="C1001"/>
      <c r="D1001"/>
    </row>
    <row r="1002" spans="3:4" x14ac:dyDescent="0.25">
      <c r="C1002"/>
      <c r="D1002"/>
    </row>
    <row r="1003" spans="3:4" x14ac:dyDescent="0.25">
      <c r="C1003"/>
      <c r="D1003"/>
    </row>
    <row r="1004" spans="3:4" x14ac:dyDescent="0.25">
      <c r="C1004"/>
      <c r="D1004"/>
    </row>
    <row r="1005" spans="3:4" x14ac:dyDescent="0.25">
      <c r="C1005"/>
      <c r="D1005"/>
    </row>
    <row r="1006" spans="3:4" x14ac:dyDescent="0.25">
      <c r="C1006"/>
      <c r="D1006"/>
    </row>
    <row r="1007" spans="3:4" x14ac:dyDescent="0.25">
      <c r="C1007"/>
      <c r="D1007"/>
    </row>
    <row r="1008" spans="3:4" x14ac:dyDescent="0.25">
      <c r="C1008"/>
      <c r="D1008"/>
    </row>
    <row r="1009" spans="3:4" x14ac:dyDescent="0.25">
      <c r="C1009"/>
      <c r="D1009"/>
    </row>
    <row r="1010" spans="3:4" x14ac:dyDescent="0.25">
      <c r="C1010"/>
      <c r="D1010"/>
    </row>
    <row r="1011" spans="3:4" x14ac:dyDescent="0.25">
      <c r="C1011"/>
      <c r="D1011"/>
    </row>
    <row r="1012" spans="3:4" x14ac:dyDescent="0.25">
      <c r="C1012"/>
      <c r="D1012"/>
    </row>
    <row r="1013" spans="3:4" x14ac:dyDescent="0.25">
      <c r="C1013"/>
      <c r="D1013"/>
    </row>
    <row r="1014" spans="3:4" x14ac:dyDescent="0.25">
      <c r="C1014"/>
      <c r="D1014"/>
    </row>
    <row r="1015" spans="3:4" x14ac:dyDescent="0.25">
      <c r="C1015"/>
      <c r="D1015"/>
    </row>
    <row r="1016" spans="3:4" x14ac:dyDescent="0.25">
      <c r="C1016"/>
      <c r="D1016"/>
    </row>
    <row r="1017" spans="3:4" x14ac:dyDescent="0.25">
      <c r="C1017"/>
      <c r="D1017"/>
    </row>
    <row r="1018" spans="3:4" x14ac:dyDescent="0.25">
      <c r="C1018"/>
      <c r="D1018"/>
    </row>
    <row r="1019" spans="3:4" x14ac:dyDescent="0.25">
      <c r="C1019"/>
      <c r="D1019"/>
    </row>
    <row r="1020" spans="3:4" x14ac:dyDescent="0.25">
      <c r="C1020"/>
      <c r="D1020"/>
    </row>
    <row r="1021" spans="3:4" x14ac:dyDescent="0.25">
      <c r="C1021"/>
      <c r="D1021"/>
    </row>
    <row r="1022" spans="3:4" x14ac:dyDescent="0.25">
      <c r="C1022"/>
      <c r="D1022"/>
    </row>
    <row r="1023" spans="3:4" x14ac:dyDescent="0.25">
      <c r="C1023"/>
      <c r="D1023"/>
    </row>
    <row r="1024" spans="3:4" x14ac:dyDescent="0.25">
      <c r="C1024"/>
      <c r="D1024"/>
    </row>
    <row r="1025" spans="3:4" x14ac:dyDescent="0.25">
      <c r="C1025"/>
      <c r="D1025"/>
    </row>
    <row r="1026" spans="3:4" x14ac:dyDescent="0.25">
      <c r="C1026"/>
      <c r="D1026"/>
    </row>
    <row r="1027" spans="3:4" x14ac:dyDescent="0.25">
      <c r="C1027"/>
      <c r="D1027"/>
    </row>
    <row r="1028" spans="3:4" x14ac:dyDescent="0.25">
      <c r="C1028"/>
      <c r="D1028"/>
    </row>
    <row r="1029" spans="3:4" x14ac:dyDescent="0.25">
      <c r="C1029"/>
      <c r="D1029"/>
    </row>
    <row r="1030" spans="3:4" x14ac:dyDescent="0.25">
      <c r="C1030"/>
      <c r="D1030"/>
    </row>
    <row r="1031" spans="3:4" x14ac:dyDescent="0.25">
      <c r="C1031"/>
      <c r="D1031"/>
    </row>
    <row r="1032" spans="3:4" x14ac:dyDescent="0.25">
      <c r="C1032"/>
      <c r="D1032"/>
    </row>
    <row r="1033" spans="3:4" x14ac:dyDescent="0.25">
      <c r="C1033"/>
      <c r="D1033"/>
    </row>
    <row r="1034" spans="3:4" x14ac:dyDescent="0.25">
      <c r="C1034"/>
      <c r="D1034"/>
    </row>
    <row r="1035" spans="3:4" x14ac:dyDescent="0.25">
      <c r="C1035"/>
      <c r="D1035"/>
    </row>
    <row r="1036" spans="3:4" x14ac:dyDescent="0.25">
      <c r="C1036"/>
      <c r="D1036"/>
    </row>
    <row r="1037" spans="3:4" x14ac:dyDescent="0.25">
      <c r="C1037"/>
      <c r="D1037"/>
    </row>
    <row r="1038" spans="3:4" x14ac:dyDescent="0.25">
      <c r="C1038"/>
      <c r="D1038"/>
    </row>
    <row r="1039" spans="3:4" x14ac:dyDescent="0.25">
      <c r="C1039"/>
      <c r="D1039"/>
    </row>
    <row r="1040" spans="3:4" x14ac:dyDescent="0.25">
      <c r="C1040"/>
      <c r="D1040"/>
    </row>
    <row r="1041" spans="3:4" x14ac:dyDescent="0.25">
      <c r="C1041"/>
      <c r="D1041"/>
    </row>
    <row r="1042" spans="3:4" x14ac:dyDescent="0.25">
      <c r="C1042"/>
      <c r="D1042"/>
    </row>
    <row r="1043" spans="3:4" x14ac:dyDescent="0.25">
      <c r="C1043"/>
      <c r="D1043"/>
    </row>
    <row r="1044" spans="3:4" x14ac:dyDescent="0.25">
      <c r="C1044"/>
      <c r="D1044"/>
    </row>
    <row r="1045" spans="3:4" x14ac:dyDescent="0.25">
      <c r="C1045"/>
      <c r="D1045"/>
    </row>
    <row r="1046" spans="3:4" x14ac:dyDescent="0.25">
      <c r="C1046"/>
      <c r="D1046"/>
    </row>
    <row r="1047" spans="3:4" x14ac:dyDescent="0.25">
      <c r="C1047"/>
      <c r="D1047"/>
    </row>
    <row r="1048" spans="3:4" x14ac:dyDescent="0.25">
      <c r="C1048"/>
      <c r="D1048"/>
    </row>
    <row r="1049" spans="3:4" x14ac:dyDescent="0.25">
      <c r="C1049"/>
      <c r="D1049"/>
    </row>
    <row r="1050" spans="3:4" x14ac:dyDescent="0.25">
      <c r="C1050"/>
      <c r="D1050"/>
    </row>
    <row r="1051" spans="3:4" x14ac:dyDescent="0.25">
      <c r="C1051"/>
      <c r="D1051"/>
    </row>
    <row r="1052" spans="3:4" x14ac:dyDescent="0.25">
      <c r="C1052"/>
      <c r="D1052"/>
    </row>
    <row r="1053" spans="3:4" x14ac:dyDescent="0.25">
      <c r="C1053"/>
      <c r="D1053"/>
    </row>
    <row r="1054" spans="3:4" x14ac:dyDescent="0.25">
      <c r="C1054"/>
      <c r="D1054"/>
    </row>
    <row r="1055" spans="3:4" x14ac:dyDescent="0.25">
      <c r="C1055"/>
      <c r="D1055"/>
    </row>
    <row r="1056" spans="3:4" x14ac:dyDescent="0.25">
      <c r="C1056"/>
      <c r="D1056"/>
    </row>
    <row r="1057" spans="3:4" x14ac:dyDescent="0.25">
      <c r="C1057"/>
      <c r="D1057"/>
    </row>
    <row r="1058" spans="3:4" x14ac:dyDescent="0.25">
      <c r="C1058"/>
      <c r="D1058"/>
    </row>
    <row r="1059" spans="3:4" x14ac:dyDescent="0.25">
      <c r="C1059"/>
      <c r="D1059"/>
    </row>
    <row r="1060" spans="3:4" x14ac:dyDescent="0.25">
      <c r="C1060"/>
      <c r="D1060"/>
    </row>
    <row r="1061" spans="3:4" x14ac:dyDescent="0.25">
      <c r="C1061"/>
      <c r="D1061"/>
    </row>
    <row r="1062" spans="3:4" x14ac:dyDescent="0.25">
      <c r="C1062"/>
      <c r="D1062"/>
    </row>
    <row r="1063" spans="3:4" x14ac:dyDescent="0.25">
      <c r="C1063"/>
      <c r="D1063"/>
    </row>
    <row r="1064" spans="3:4" x14ac:dyDescent="0.25">
      <c r="C1064"/>
      <c r="D1064"/>
    </row>
    <row r="1065" spans="3:4" x14ac:dyDescent="0.25">
      <c r="C1065"/>
      <c r="D1065"/>
    </row>
    <row r="1066" spans="3:4" x14ac:dyDescent="0.25">
      <c r="C1066"/>
      <c r="D1066"/>
    </row>
    <row r="1067" spans="3:4" x14ac:dyDescent="0.25">
      <c r="C1067"/>
      <c r="D1067"/>
    </row>
    <row r="1068" spans="3:4" x14ac:dyDescent="0.25">
      <c r="C1068"/>
      <c r="D1068"/>
    </row>
    <row r="1069" spans="3:4" x14ac:dyDescent="0.25">
      <c r="C1069"/>
      <c r="D1069"/>
    </row>
    <row r="1070" spans="3:4" x14ac:dyDescent="0.25">
      <c r="C1070"/>
      <c r="D1070"/>
    </row>
    <row r="1071" spans="3:4" x14ac:dyDescent="0.25">
      <c r="C1071"/>
      <c r="D1071"/>
    </row>
    <row r="1072" spans="3:4" x14ac:dyDescent="0.25">
      <c r="C1072"/>
      <c r="D1072"/>
    </row>
    <row r="1073" spans="3:4" x14ac:dyDescent="0.25">
      <c r="C1073"/>
      <c r="D1073"/>
    </row>
    <row r="1074" spans="3:4" x14ac:dyDescent="0.25">
      <c r="C1074"/>
      <c r="D1074"/>
    </row>
    <row r="1075" spans="3:4" x14ac:dyDescent="0.25">
      <c r="C1075"/>
      <c r="D1075"/>
    </row>
    <row r="1076" spans="3:4" x14ac:dyDescent="0.25">
      <c r="C1076"/>
      <c r="D1076"/>
    </row>
    <row r="1077" spans="3:4" x14ac:dyDescent="0.25">
      <c r="C1077"/>
      <c r="D1077"/>
    </row>
    <row r="1078" spans="3:4" x14ac:dyDescent="0.25">
      <c r="C1078"/>
      <c r="D1078"/>
    </row>
    <row r="1079" spans="3:4" x14ac:dyDescent="0.25">
      <c r="C1079"/>
      <c r="D1079"/>
    </row>
    <row r="1080" spans="3:4" x14ac:dyDescent="0.25">
      <c r="C1080"/>
      <c r="D1080"/>
    </row>
    <row r="1081" spans="3:4" x14ac:dyDescent="0.25">
      <c r="C1081"/>
      <c r="D1081"/>
    </row>
    <row r="1082" spans="3:4" x14ac:dyDescent="0.25">
      <c r="C1082"/>
      <c r="D1082"/>
    </row>
    <row r="1083" spans="3:4" x14ac:dyDescent="0.25">
      <c r="C1083"/>
      <c r="D1083"/>
    </row>
    <row r="1084" spans="3:4" x14ac:dyDescent="0.25">
      <c r="C1084"/>
      <c r="D1084"/>
    </row>
    <row r="1085" spans="3:4" x14ac:dyDescent="0.25">
      <c r="C1085"/>
      <c r="D1085"/>
    </row>
    <row r="1086" spans="3:4" x14ac:dyDescent="0.25">
      <c r="C1086"/>
      <c r="D1086"/>
    </row>
    <row r="1087" spans="3:4" x14ac:dyDescent="0.25">
      <c r="C1087"/>
      <c r="D1087"/>
    </row>
    <row r="1088" spans="3:4" x14ac:dyDescent="0.25">
      <c r="C1088"/>
      <c r="D1088"/>
    </row>
    <row r="1089" spans="3:4" x14ac:dyDescent="0.25">
      <c r="C1089"/>
      <c r="D1089"/>
    </row>
    <row r="1090" spans="3:4" x14ac:dyDescent="0.25">
      <c r="C1090"/>
      <c r="D1090"/>
    </row>
    <row r="1091" spans="3:4" x14ac:dyDescent="0.25">
      <c r="C1091"/>
      <c r="D1091"/>
    </row>
    <row r="1092" spans="3:4" x14ac:dyDescent="0.25">
      <c r="C1092"/>
      <c r="D1092"/>
    </row>
    <row r="1093" spans="3:4" x14ac:dyDescent="0.25">
      <c r="C1093"/>
      <c r="D1093"/>
    </row>
    <row r="1094" spans="3:4" x14ac:dyDescent="0.25">
      <c r="C1094"/>
      <c r="D1094"/>
    </row>
    <row r="1095" spans="3:4" x14ac:dyDescent="0.25">
      <c r="C1095"/>
      <c r="D1095"/>
    </row>
    <row r="1096" spans="3:4" x14ac:dyDescent="0.25">
      <c r="C1096"/>
      <c r="D1096"/>
    </row>
    <row r="1097" spans="3:4" x14ac:dyDescent="0.25">
      <c r="C1097"/>
      <c r="D1097"/>
    </row>
    <row r="1098" spans="3:4" x14ac:dyDescent="0.25">
      <c r="C1098"/>
      <c r="D1098"/>
    </row>
    <row r="1099" spans="3:4" x14ac:dyDescent="0.25">
      <c r="C1099"/>
      <c r="D1099"/>
    </row>
    <row r="1100" spans="3:4" x14ac:dyDescent="0.25">
      <c r="C1100"/>
      <c r="D1100"/>
    </row>
    <row r="1101" spans="3:4" x14ac:dyDescent="0.25">
      <c r="C1101"/>
      <c r="D1101"/>
    </row>
    <row r="1102" spans="3:4" x14ac:dyDescent="0.25">
      <c r="C1102"/>
      <c r="D1102"/>
    </row>
    <row r="1103" spans="3:4" x14ac:dyDescent="0.25">
      <c r="C1103"/>
      <c r="D1103"/>
    </row>
    <row r="1104" spans="3:4" x14ac:dyDescent="0.25">
      <c r="C1104"/>
      <c r="D1104"/>
    </row>
    <row r="1105" spans="3:4" x14ac:dyDescent="0.25">
      <c r="C1105"/>
      <c r="D1105"/>
    </row>
    <row r="1106" spans="3:4" x14ac:dyDescent="0.25">
      <c r="C1106"/>
      <c r="D1106"/>
    </row>
    <row r="1107" spans="3:4" x14ac:dyDescent="0.25">
      <c r="C1107"/>
      <c r="D1107"/>
    </row>
    <row r="1108" spans="3:4" x14ac:dyDescent="0.25">
      <c r="C1108"/>
      <c r="D1108"/>
    </row>
    <row r="1109" spans="3:4" x14ac:dyDescent="0.25">
      <c r="C1109"/>
      <c r="D1109"/>
    </row>
    <row r="1110" spans="3:4" x14ac:dyDescent="0.25">
      <c r="C1110"/>
      <c r="D1110"/>
    </row>
    <row r="1111" spans="3:4" x14ac:dyDescent="0.25">
      <c r="C1111"/>
      <c r="D1111"/>
    </row>
    <row r="1112" spans="3:4" x14ac:dyDescent="0.25">
      <c r="C1112"/>
      <c r="D1112"/>
    </row>
    <row r="1113" spans="3:4" x14ac:dyDescent="0.25">
      <c r="C1113"/>
      <c r="D1113"/>
    </row>
    <row r="1114" spans="3:4" x14ac:dyDescent="0.25">
      <c r="C1114"/>
      <c r="D1114"/>
    </row>
    <row r="1115" spans="3:4" x14ac:dyDescent="0.25">
      <c r="C1115"/>
      <c r="D1115"/>
    </row>
    <row r="1116" spans="3:4" x14ac:dyDescent="0.25">
      <c r="C1116"/>
      <c r="D1116"/>
    </row>
    <row r="1117" spans="3:4" x14ac:dyDescent="0.25">
      <c r="C1117"/>
      <c r="D1117"/>
    </row>
    <row r="1118" spans="3:4" x14ac:dyDescent="0.25">
      <c r="C1118"/>
      <c r="D1118"/>
    </row>
    <row r="1119" spans="3:4" x14ac:dyDescent="0.25">
      <c r="C1119"/>
      <c r="D1119"/>
    </row>
    <row r="1120" spans="3:4" x14ac:dyDescent="0.25">
      <c r="C1120"/>
      <c r="D1120"/>
    </row>
    <row r="1121" spans="3:4" x14ac:dyDescent="0.25">
      <c r="C1121"/>
      <c r="D1121"/>
    </row>
    <row r="1122" spans="3:4" x14ac:dyDescent="0.25">
      <c r="C1122"/>
      <c r="D1122"/>
    </row>
    <row r="1123" spans="3:4" x14ac:dyDescent="0.25">
      <c r="C1123"/>
      <c r="D1123"/>
    </row>
    <row r="1124" spans="3:4" x14ac:dyDescent="0.25">
      <c r="C1124"/>
      <c r="D1124"/>
    </row>
    <row r="1125" spans="3:4" x14ac:dyDescent="0.25">
      <c r="C1125"/>
      <c r="D1125"/>
    </row>
    <row r="1126" spans="3:4" x14ac:dyDescent="0.25">
      <c r="C1126"/>
      <c r="D1126"/>
    </row>
    <row r="1127" spans="3:4" x14ac:dyDescent="0.25">
      <c r="C1127"/>
      <c r="D1127"/>
    </row>
    <row r="1128" spans="3:4" x14ac:dyDescent="0.25">
      <c r="C1128"/>
      <c r="D1128"/>
    </row>
    <row r="1129" spans="3:4" x14ac:dyDescent="0.25">
      <c r="C1129"/>
      <c r="D1129"/>
    </row>
    <row r="1130" spans="3:4" x14ac:dyDescent="0.25">
      <c r="C1130"/>
      <c r="D1130"/>
    </row>
    <row r="1131" spans="3:4" x14ac:dyDescent="0.25">
      <c r="C1131"/>
      <c r="D1131"/>
    </row>
    <row r="1132" spans="3:4" x14ac:dyDescent="0.25">
      <c r="C1132"/>
      <c r="D1132"/>
    </row>
    <row r="1133" spans="3:4" x14ac:dyDescent="0.25">
      <c r="C1133"/>
      <c r="D1133"/>
    </row>
    <row r="1134" spans="3:4" x14ac:dyDescent="0.25">
      <c r="C1134"/>
      <c r="D1134"/>
    </row>
    <row r="1135" spans="3:4" x14ac:dyDescent="0.25">
      <c r="C1135"/>
      <c r="D1135"/>
    </row>
    <row r="1136" spans="3:4" x14ac:dyDescent="0.25">
      <c r="C1136"/>
      <c r="D1136"/>
    </row>
    <row r="1137" spans="3:4" x14ac:dyDescent="0.25">
      <c r="C1137"/>
      <c r="D1137"/>
    </row>
    <row r="1138" spans="3:4" x14ac:dyDescent="0.25">
      <c r="C1138"/>
      <c r="D1138"/>
    </row>
    <row r="1139" spans="3:4" x14ac:dyDescent="0.25">
      <c r="C1139"/>
      <c r="D1139"/>
    </row>
    <row r="1140" spans="3:4" x14ac:dyDescent="0.25">
      <c r="C1140"/>
      <c r="D1140"/>
    </row>
    <row r="1141" spans="3:4" x14ac:dyDescent="0.25">
      <c r="C1141"/>
      <c r="D1141"/>
    </row>
    <row r="1142" spans="3:4" x14ac:dyDescent="0.25">
      <c r="C1142"/>
      <c r="D1142"/>
    </row>
    <row r="1143" spans="3:4" x14ac:dyDescent="0.25">
      <c r="C1143"/>
      <c r="D1143"/>
    </row>
    <row r="1144" spans="3:4" x14ac:dyDescent="0.25">
      <c r="C1144"/>
      <c r="D1144"/>
    </row>
    <row r="1145" spans="3:4" x14ac:dyDescent="0.25">
      <c r="C1145"/>
      <c r="D1145"/>
    </row>
    <row r="1146" spans="3:4" x14ac:dyDescent="0.25">
      <c r="C1146"/>
      <c r="D1146"/>
    </row>
    <row r="1147" spans="3:4" x14ac:dyDescent="0.25">
      <c r="C1147"/>
      <c r="D1147"/>
    </row>
    <row r="1148" spans="3:4" x14ac:dyDescent="0.25">
      <c r="C1148"/>
      <c r="D1148"/>
    </row>
    <row r="1149" spans="3:4" x14ac:dyDescent="0.25">
      <c r="C1149"/>
      <c r="D1149"/>
    </row>
    <row r="1150" spans="3:4" x14ac:dyDescent="0.25">
      <c r="C1150"/>
      <c r="D1150"/>
    </row>
    <row r="1151" spans="3:4" x14ac:dyDescent="0.25">
      <c r="C1151"/>
      <c r="D1151"/>
    </row>
    <row r="1152" spans="3:4" x14ac:dyDescent="0.25">
      <c r="C1152"/>
      <c r="D1152"/>
    </row>
    <row r="1153" spans="3:4" x14ac:dyDescent="0.25">
      <c r="C1153"/>
      <c r="D1153"/>
    </row>
    <row r="1154" spans="3:4" x14ac:dyDescent="0.25">
      <c r="C1154"/>
      <c r="D1154"/>
    </row>
    <row r="1155" spans="3:4" x14ac:dyDescent="0.25">
      <c r="C1155"/>
      <c r="D1155"/>
    </row>
    <row r="1156" spans="3:4" x14ac:dyDescent="0.25">
      <c r="C1156"/>
      <c r="D1156"/>
    </row>
    <row r="1157" spans="3:4" x14ac:dyDescent="0.25">
      <c r="C1157"/>
      <c r="D1157"/>
    </row>
    <row r="1158" spans="3:4" x14ac:dyDescent="0.25">
      <c r="C1158"/>
      <c r="D1158"/>
    </row>
    <row r="1159" spans="3:4" x14ac:dyDescent="0.25">
      <c r="C1159"/>
      <c r="D1159"/>
    </row>
    <row r="1160" spans="3:4" x14ac:dyDescent="0.25">
      <c r="C1160"/>
      <c r="D1160"/>
    </row>
    <row r="1161" spans="3:4" x14ac:dyDescent="0.25">
      <c r="C1161"/>
      <c r="D1161"/>
    </row>
    <row r="1162" spans="3:4" x14ac:dyDescent="0.25">
      <c r="C1162"/>
      <c r="D1162"/>
    </row>
    <row r="1163" spans="3:4" x14ac:dyDescent="0.25">
      <c r="C1163"/>
      <c r="D1163"/>
    </row>
    <row r="1164" spans="3:4" x14ac:dyDescent="0.25">
      <c r="C1164"/>
      <c r="D1164"/>
    </row>
    <row r="1165" spans="3:4" x14ac:dyDescent="0.25">
      <c r="C1165"/>
      <c r="D1165"/>
    </row>
    <row r="1166" spans="3:4" x14ac:dyDescent="0.25">
      <c r="C1166"/>
      <c r="D1166"/>
    </row>
    <row r="1167" spans="3:4" x14ac:dyDescent="0.25">
      <c r="C1167"/>
      <c r="D1167"/>
    </row>
    <row r="1168" spans="3:4" x14ac:dyDescent="0.25">
      <c r="C1168"/>
      <c r="D1168"/>
    </row>
    <row r="1169" spans="3:4" x14ac:dyDescent="0.25">
      <c r="C1169"/>
      <c r="D1169"/>
    </row>
    <row r="1170" spans="3:4" x14ac:dyDescent="0.25">
      <c r="C1170"/>
      <c r="D1170"/>
    </row>
    <row r="1171" spans="3:4" x14ac:dyDescent="0.25">
      <c r="C1171"/>
      <c r="D1171"/>
    </row>
    <row r="1172" spans="3:4" x14ac:dyDescent="0.25">
      <c r="C1172"/>
      <c r="D1172"/>
    </row>
    <row r="1173" spans="3:4" x14ac:dyDescent="0.25">
      <c r="C1173"/>
      <c r="D1173"/>
    </row>
    <row r="1174" spans="3:4" x14ac:dyDescent="0.25">
      <c r="C1174"/>
      <c r="D1174"/>
    </row>
    <row r="1175" spans="3:4" x14ac:dyDescent="0.25">
      <c r="C1175"/>
      <c r="D1175"/>
    </row>
    <row r="1176" spans="3:4" x14ac:dyDescent="0.25">
      <c r="C1176"/>
      <c r="D1176"/>
    </row>
    <row r="1177" spans="3:4" x14ac:dyDescent="0.25">
      <c r="C1177"/>
      <c r="D1177"/>
    </row>
    <row r="1178" spans="3:4" x14ac:dyDescent="0.25">
      <c r="C1178"/>
      <c r="D1178"/>
    </row>
    <row r="1179" spans="3:4" x14ac:dyDescent="0.25">
      <c r="C1179"/>
      <c r="D1179"/>
    </row>
    <row r="1180" spans="3:4" x14ac:dyDescent="0.25">
      <c r="C1180"/>
      <c r="D1180"/>
    </row>
    <row r="1181" spans="3:4" x14ac:dyDescent="0.25">
      <c r="C1181"/>
      <c r="D1181"/>
    </row>
    <row r="1182" spans="3:4" x14ac:dyDescent="0.25">
      <c r="C1182"/>
      <c r="D1182"/>
    </row>
    <row r="1183" spans="3:4" x14ac:dyDescent="0.25">
      <c r="C1183"/>
      <c r="D1183"/>
    </row>
    <row r="1184" spans="3:4" x14ac:dyDescent="0.25">
      <c r="C1184"/>
      <c r="D1184"/>
    </row>
    <row r="1185" spans="3:4" x14ac:dyDescent="0.25">
      <c r="C1185"/>
      <c r="D1185"/>
    </row>
    <row r="1186" spans="3:4" x14ac:dyDescent="0.25">
      <c r="C1186"/>
      <c r="D1186"/>
    </row>
    <row r="1187" spans="3:4" x14ac:dyDescent="0.25">
      <c r="C1187"/>
      <c r="D1187"/>
    </row>
    <row r="1188" spans="3:4" x14ac:dyDescent="0.25">
      <c r="C1188"/>
      <c r="D1188"/>
    </row>
    <row r="1189" spans="3:4" x14ac:dyDescent="0.25">
      <c r="C1189"/>
      <c r="D1189"/>
    </row>
    <row r="1190" spans="3:4" x14ac:dyDescent="0.25">
      <c r="C1190"/>
      <c r="D1190"/>
    </row>
    <row r="1191" spans="3:4" x14ac:dyDescent="0.25">
      <c r="C1191"/>
      <c r="D1191"/>
    </row>
    <row r="1192" spans="3:4" x14ac:dyDescent="0.25">
      <c r="C1192"/>
      <c r="D1192"/>
    </row>
    <row r="1193" spans="3:4" x14ac:dyDescent="0.25">
      <c r="C1193"/>
      <c r="D1193"/>
    </row>
    <row r="1194" spans="3:4" x14ac:dyDescent="0.25">
      <c r="C1194"/>
      <c r="D1194"/>
    </row>
    <row r="1195" spans="3:4" x14ac:dyDescent="0.25">
      <c r="C1195"/>
      <c r="D1195"/>
    </row>
    <row r="1196" spans="3:4" x14ac:dyDescent="0.25">
      <c r="C1196"/>
      <c r="D1196"/>
    </row>
    <row r="1197" spans="3:4" x14ac:dyDescent="0.25">
      <c r="C1197"/>
      <c r="D1197"/>
    </row>
    <row r="1198" spans="3:4" x14ac:dyDescent="0.25">
      <c r="C1198"/>
      <c r="D1198"/>
    </row>
    <row r="1199" spans="3:4" x14ac:dyDescent="0.25">
      <c r="C1199"/>
      <c r="D1199"/>
    </row>
    <row r="1200" spans="3:4" x14ac:dyDescent="0.25">
      <c r="C1200"/>
      <c r="D1200"/>
    </row>
    <row r="1201" spans="3:4" x14ac:dyDescent="0.25">
      <c r="C1201"/>
      <c r="D1201"/>
    </row>
    <row r="1202" spans="3:4" x14ac:dyDescent="0.25">
      <c r="C1202"/>
      <c r="D1202"/>
    </row>
    <row r="1203" spans="3:4" x14ac:dyDescent="0.25">
      <c r="C1203"/>
      <c r="D1203"/>
    </row>
    <row r="1204" spans="3:4" x14ac:dyDescent="0.25">
      <c r="C1204"/>
      <c r="D1204"/>
    </row>
    <row r="1205" spans="3:4" x14ac:dyDescent="0.25">
      <c r="C1205"/>
      <c r="D1205"/>
    </row>
    <row r="1206" spans="3:4" x14ac:dyDescent="0.25">
      <c r="C1206"/>
      <c r="D1206"/>
    </row>
    <row r="1207" spans="3:4" x14ac:dyDescent="0.25">
      <c r="C1207"/>
      <c r="D1207"/>
    </row>
    <row r="1208" spans="3:4" x14ac:dyDescent="0.25">
      <c r="C1208"/>
      <c r="D1208"/>
    </row>
    <row r="1209" spans="3:4" x14ac:dyDescent="0.25">
      <c r="C1209"/>
      <c r="D1209"/>
    </row>
    <row r="1210" spans="3:4" x14ac:dyDescent="0.25">
      <c r="C1210"/>
      <c r="D1210"/>
    </row>
    <row r="1211" spans="3:4" x14ac:dyDescent="0.25">
      <c r="C1211"/>
      <c r="D1211"/>
    </row>
    <row r="1212" spans="3:4" x14ac:dyDescent="0.25">
      <c r="C1212"/>
      <c r="D1212"/>
    </row>
    <row r="1213" spans="3:4" x14ac:dyDescent="0.25">
      <c r="C1213"/>
      <c r="D1213"/>
    </row>
    <row r="1214" spans="3:4" x14ac:dyDescent="0.25">
      <c r="C1214"/>
      <c r="D1214"/>
    </row>
    <row r="1215" spans="3:4" x14ac:dyDescent="0.25">
      <c r="C1215"/>
      <c r="D1215"/>
    </row>
    <row r="1216" spans="3:4" x14ac:dyDescent="0.25">
      <c r="C1216"/>
      <c r="D1216"/>
    </row>
    <row r="1217" spans="3:4" x14ac:dyDescent="0.25">
      <c r="C1217"/>
      <c r="D1217"/>
    </row>
    <row r="1218" spans="3:4" x14ac:dyDescent="0.25">
      <c r="C1218"/>
      <c r="D1218"/>
    </row>
    <row r="1219" spans="3:4" x14ac:dyDescent="0.25">
      <c r="C1219"/>
      <c r="D1219"/>
    </row>
    <row r="1220" spans="3:4" x14ac:dyDescent="0.25">
      <c r="C1220"/>
      <c r="D1220"/>
    </row>
    <row r="1221" spans="3:4" x14ac:dyDescent="0.25">
      <c r="C1221"/>
      <c r="D1221"/>
    </row>
    <row r="1222" spans="3:4" x14ac:dyDescent="0.25">
      <c r="C1222"/>
      <c r="D1222"/>
    </row>
    <row r="1223" spans="3:4" x14ac:dyDescent="0.25">
      <c r="C1223"/>
      <c r="D1223"/>
    </row>
    <row r="1224" spans="3:4" x14ac:dyDescent="0.25">
      <c r="C1224"/>
      <c r="D1224"/>
    </row>
    <row r="1225" spans="3:4" x14ac:dyDescent="0.25">
      <c r="C1225"/>
      <c r="D1225"/>
    </row>
    <row r="1226" spans="3:4" x14ac:dyDescent="0.25">
      <c r="C1226"/>
      <c r="D1226"/>
    </row>
    <row r="1227" spans="3:4" x14ac:dyDescent="0.25">
      <c r="C1227"/>
      <c r="D1227"/>
    </row>
    <row r="1228" spans="3:4" x14ac:dyDescent="0.25">
      <c r="C1228"/>
      <c r="D1228"/>
    </row>
    <row r="1229" spans="3:4" x14ac:dyDescent="0.25">
      <c r="C1229"/>
      <c r="D1229"/>
    </row>
    <row r="1230" spans="3:4" x14ac:dyDescent="0.25">
      <c r="C1230"/>
      <c r="D1230"/>
    </row>
    <row r="1231" spans="3:4" x14ac:dyDescent="0.25">
      <c r="C1231"/>
      <c r="D1231"/>
    </row>
    <row r="1232" spans="3:4" x14ac:dyDescent="0.25">
      <c r="C1232"/>
      <c r="D1232"/>
    </row>
    <row r="1233" spans="3:4" x14ac:dyDescent="0.25">
      <c r="C1233"/>
      <c r="D1233"/>
    </row>
    <row r="1234" spans="3:4" x14ac:dyDescent="0.25">
      <c r="C1234"/>
      <c r="D1234"/>
    </row>
    <row r="1235" spans="3:4" x14ac:dyDescent="0.25">
      <c r="C1235"/>
      <c r="D1235"/>
    </row>
    <row r="1236" spans="3:4" x14ac:dyDescent="0.25">
      <c r="C1236"/>
      <c r="D1236"/>
    </row>
    <row r="1237" spans="3:4" x14ac:dyDescent="0.25">
      <c r="C1237"/>
      <c r="D1237"/>
    </row>
    <row r="1238" spans="3:4" x14ac:dyDescent="0.25">
      <c r="C1238"/>
      <c r="D1238"/>
    </row>
    <row r="1239" spans="3:4" x14ac:dyDescent="0.25">
      <c r="C1239"/>
      <c r="D1239"/>
    </row>
    <row r="1240" spans="3:4" x14ac:dyDescent="0.25">
      <c r="C1240"/>
      <c r="D1240"/>
    </row>
    <row r="1241" spans="3:4" x14ac:dyDescent="0.25">
      <c r="C1241"/>
      <c r="D1241"/>
    </row>
    <row r="1242" spans="3:4" x14ac:dyDescent="0.25">
      <c r="C1242"/>
      <c r="D1242"/>
    </row>
    <row r="1243" spans="3:4" x14ac:dyDescent="0.25">
      <c r="C1243"/>
      <c r="D1243"/>
    </row>
    <row r="1244" spans="3:4" x14ac:dyDescent="0.25">
      <c r="C1244"/>
      <c r="D1244"/>
    </row>
    <row r="1245" spans="3:4" x14ac:dyDescent="0.25">
      <c r="C1245"/>
      <c r="D1245"/>
    </row>
    <row r="1246" spans="3:4" x14ac:dyDescent="0.25">
      <c r="C1246"/>
      <c r="D1246"/>
    </row>
    <row r="1247" spans="3:4" x14ac:dyDescent="0.25">
      <c r="C1247"/>
      <c r="D1247"/>
    </row>
    <row r="1248" spans="3:4" x14ac:dyDescent="0.25">
      <c r="C1248"/>
      <c r="D1248"/>
    </row>
    <row r="1249" spans="3:4" x14ac:dyDescent="0.25">
      <c r="C1249"/>
      <c r="D1249"/>
    </row>
    <row r="1250" spans="3:4" x14ac:dyDescent="0.25">
      <c r="C1250"/>
      <c r="D1250"/>
    </row>
    <row r="1251" spans="3:4" x14ac:dyDescent="0.25">
      <c r="C1251"/>
      <c r="D1251"/>
    </row>
    <row r="1252" spans="3:4" x14ac:dyDescent="0.25">
      <c r="C1252"/>
      <c r="D1252"/>
    </row>
    <row r="1253" spans="3:4" x14ac:dyDescent="0.25">
      <c r="C1253"/>
      <c r="D1253"/>
    </row>
    <row r="1254" spans="3:4" x14ac:dyDescent="0.25">
      <c r="C1254"/>
      <c r="D1254"/>
    </row>
    <row r="1255" spans="3:4" x14ac:dyDescent="0.25">
      <c r="C1255"/>
      <c r="D1255"/>
    </row>
    <row r="1256" spans="3:4" x14ac:dyDescent="0.25">
      <c r="C1256"/>
      <c r="D1256"/>
    </row>
    <row r="1257" spans="3:4" x14ac:dyDescent="0.25">
      <c r="C1257"/>
      <c r="D1257"/>
    </row>
    <row r="1258" spans="3:4" x14ac:dyDescent="0.25">
      <c r="C1258"/>
      <c r="D1258"/>
    </row>
    <row r="1259" spans="3:4" x14ac:dyDescent="0.25">
      <c r="C1259"/>
      <c r="D1259"/>
    </row>
    <row r="1260" spans="3:4" x14ac:dyDescent="0.25">
      <c r="C1260"/>
      <c r="D1260"/>
    </row>
    <row r="1261" spans="3:4" x14ac:dyDescent="0.25">
      <c r="C1261"/>
      <c r="D1261"/>
    </row>
    <row r="1262" spans="3:4" x14ac:dyDescent="0.25">
      <c r="C1262"/>
      <c r="D1262"/>
    </row>
    <row r="1263" spans="3:4" x14ac:dyDescent="0.25">
      <c r="C1263"/>
      <c r="D1263"/>
    </row>
    <row r="1264" spans="3:4" x14ac:dyDescent="0.25">
      <c r="C1264"/>
      <c r="D1264"/>
    </row>
    <row r="1265" spans="3:4" x14ac:dyDescent="0.25">
      <c r="C1265"/>
      <c r="D1265"/>
    </row>
    <row r="1266" spans="3:4" x14ac:dyDescent="0.25">
      <c r="C1266"/>
      <c r="D1266"/>
    </row>
    <row r="1267" spans="3:4" x14ac:dyDescent="0.25">
      <c r="C1267"/>
      <c r="D1267"/>
    </row>
    <row r="1268" spans="3:4" x14ac:dyDescent="0.25">
      <c r="C1268"/>
      <c r="D1268"/>
    </row>
    <row r="1269" spans="3:4" x14ac:dyDescent="0.25">
      <c r="C1269"/>
      <c r="D1269"/>
    </row>
    <row r="1270" spans="3:4" x14ac:dyDescent="0.25">
      <c r="C1270"/>
      <c r="D1270"/>
    </row>
    <row r="1271" spans="3:4" x14ac:dyDescent="0.25">
      <c r="C1271"/>
      <c r="D1271"/>
    </row>
    <row r="1272" spans="3:4" x14ac:dyDescent="0.25">
      <c r="C1272"/>
      <c r="D1272"/>
    </row>
    <row r="1273" spans="3:4" x14ac:dyDescent="0.25">
      <c r="C1273"/>
      <c r="D1273"/>
    </row>
    <row r="1274" spans="3:4" x14ac:dyDescent="0.25">
      <c r="C1274"/>
      <c r="D1274"/>
    </row>
    <row r="1275" spans="3:4" x14ac:dyDescent="0.25">
      <c r="C1275"/>
      <c r="D1275"/>
    </row>
    <row r="1276" spans="3:4" x14ac:dyDescent="0.25">
      <c r="C1276"/>
      <c r="D1276"/>
    </row>
    <row r="1277" spans="3:4" x14ac:dyDescent="0.25">
      <c r="C1277"/>
      <c r="D1277"/>
    </row>
    <row r="1278" spans="3:4" x14ac:dyDescent="0.25">
      <c r="C1278"/>
      <c r="D1278"/>
    </row>
    <row r="1279" spans="3:4" x14ac:dyDescent="0.25">
      <c r="C1279"/>
      <c r="D1279"/>
    </row>
    <row r="1280" spans="3:4" x14ac:dyDescent="0.25">
      <c r="C1280"/>
      <c r="D1280"/>
    </row>
    <row r="1281" spans="3:4" x14ac:dyDescent="0.25">
      <c r="C1281"/>
      <c r="D1281"/>
    </row>
    <row r="1282" spans="3:4" x14ac:dyDescent="0.25">
      <c r="C1282"/>
      <c r="D1282"/>
    </row>
    <row r="1283" spans="3:4" x14ac:dyDescent="0.25">
      <c r="C1283"/>
      <c r="D1283"/>
    </row>
    <row r="1284" spans="3:4" x14ac:dyDescent="0.25">
      <c r="C1284"/>
      <c r="D1284"/>
    </row>
    <row r="1285" spans="3:4" x14ac:dyDescent="0.25">
      <c r="C1285"/>
      <c r="D1285"/>
    </row>
    <row r="1286" spans="3:4" x14ac:dyDescent="0.25">
      <c r="C1286"/>
      <c r="D1286"/>
    </row>
    <row r="1287" spans="3:4" x14ac:dyDescent="0.25">
      <c r="C1287"/>
      <c r="D1287"/>
    </row>
    <row r="1288" spans="3:4" x14ac:dyDescent="0.25">
      <c r="C1288"/>
      <c r="D1288"/>
    </row>
    <row r="1289" spans="3:4" x14ac:dyDescent="0.25">
      <c r="C1289"/>
      <c r="D1289"/>
    </row>
    <row r="1290" spans="3:4" x14ac:dyDescent="0.25">
      <c r="C1290"/>
      <c r="D1290"/>
    </row>
    <row r="1291" spans="3:4" x14ac:dyDescent="0.25">
      <c r="C1291"/>
      <c r="D1291"/>
    </row>
    <row r="1292" spans="3:4" x14ac:dyDescent="0.25">
      <c r="C1292"/>
      <c r="D1292"/>
    </row>
    <row r="1293" spans="3:4" x14ac:dyDescent="0.25">
      <c r="C1293"/>
      <c r="D1293"/>
    </row>
    <row r="1294" spans="3:4" x14ac:dyDescent="0.25">
      <c r="C1294"/>
      <c r="D1294"/>
    </row>
    <row r="1295" spans="3:4" x14ac:dyDescent="0.25">
      <c r="C1295"/>
      <c r="D1295"/>
    </row>
    <row r="1296" spans="3:4" x14ac:dyDescent="0.25">
      <c r="C1296"/>
      <c r="D1296"/>
    </row>
    <row r="1297" spans="3:4" x14ac:dyDescent="0.25">
      <c r="C1297"/>
      <c r="D1297"/>
    </row>
    <row r="1298" spans="3:4" x14ac:dyDescent="0.25">
      <c r="C1298"/>
      <c r="D1298"/>
    </row>
    <row r="1299" spans="3:4" x14ac:dyDescent="0.25">
      <c r="C1299"/>
      <c r="D1299"/>
    </row>
    <row r="1300" spans="3:4" x14ac:dyDescent="0.25">
      <c r="C1300"/>
      <c r="D1300"/>
    </row>
    <row r="1301" spans="3:4" x14ac:dyDescent="0.25">
      <c r="C1301"/>
      <c r="D1301"/>
    </row>
    <row r="1302" spans="3:4" x14ac:dyDescent="0.25">
      <c r="C1302"/>
      <c r="D1302"/>
    </row>
    <row r="1303" spans="3:4" x14ac:dyDescent="0.25">
      <c r="C1303"/>
      <c r="D1303"/>
    </row>
    <row r="1304" spans="3:4" x14ac:dyDescent="0.25">
      <c r="C1304"/>
      <c r="D1304"/>
    </row>
    <row r="1305" spans="3:4" x14ac:dyDescent="0.25">
      <c r="C1305"/>
      <c r="D1305"/>
    </row>
    <row r="1306" spans="3:4" x14ac:dyDescent="0.25">
      <c r="C1306"/>
      <c r="D1306"/>
    </row>
    <row r="1307" spans="3:4" x14ac:dyDescent="0.25">
      <c r="C1307"/>
      <c r="D1307"/>
    </row>
    <row r="1308" spans="3:4" x14ac:dyDescent="0.25">
      <c r="C1308"/>
      <c r="D1308"/>
    </row>
    <row r="1309" spans="3:4" x14ac:dyDescent="0.25">
      <c r="C1309"/>
      <c r="D1309"/>
    </row>
    <row r="1310" spans="3:4" x14ac:dyDescent="0.25">
      <c r="C1310"/>
      <c r="D1310"/>
    </row>
    <row r="1311" spans="3:4" x14ac:dyDescent="0.25">
      <c r="C1311"/>
      <c r="D1311"/>
    </row>
    <row r="1312" spans="3:4" x14ac:dyDescent="0.25">
      <c r="C1312"/>
      <c r="D1312"/>
    </row>
    <row r="1313" spans="3:4" x14ac:dyDescent="0.25">
      <c r="C1313"/>
      <c r="D1313"/>
    </row>
    <row r="1314" spans="3:4" x14ac:dyDescent="0.25">
      <c r="C1314"/>
      <c r="D1314"/>
    </row>
    <row r="1315" spans="3:4" x14ac:dyDescent="0.25">
      <c r="C1315"/>
      <c r="D1315"/>
    </row>
    <row r="1316" spans="3:4" x14ac:dyDescent="0.25">
      <c r="C1316"/>
      <c r="D1316"/>
    </row>
    <row r="1317" spans="3:4" x14ac:dyDescent="0.25">
      <c r="C1317"/>
      <c r="D1317"/>
    </row>
    <row r="1318" spans="3:4" x14ac:dyDescent="0.25">
      <c r="C1318"/>
      <c r="D1318"/>
    </row>
    <row r="1319" spans="3:4" x14ac:dyDescent="0.25">
      <c r="C1319"/>
      <c r="D1319"/>
    </row>
    <row r="1320" spans="3:4" x14ac:dyDescent="0.25">
      <c r="C1320"/>
      <c r="D1320"/>
    </row>
    <row r="1321" spans="3:4" x14ac:dyDescent="0.25">
      <c r="C1321"/>
      <c r="D1321"/>
    </row>
    <row r="1322" spans="3:4" x14ac:dyDescent="0.25">
      <c r="C1322"/>
      <c r="D1322"/>
    </row>
    <row r="1323" spans="3:4" x14ac:dyDescent="0.25">
      <c r="C1323"/>
      <c r="D1323"/>
    </row>
    <row r="1324" spans="3:4" x14ac:dyDescent="0.25">
      <c r="C1324"/>
      <c r="D1324"/>
    </row>
    <row r="1325" spans="3:4" x14ac:dyDescent="0.25">
      <c r="C1325"/>
      <c r="D1325"/>
    </row>
    <row r="1326" spans="3:4" x14ac:dyDescent="0.25">
      <c r="C1326"/>
      <c r="D1326"/>
    </row>
    <row r="1327" spans="3:4" x14ac:dyDescent="0.25">
      <c r="C1327"/>
      <c r="D1327"/>
    </row>
    <row r="1328" spans="3:4" x14ac:dyDescent="0.25">
      <c r="C1328"/>
      <c r="D1328"/>
    </row>
    <row r="1329" spans="3:4" x14ac:dyDescent="0.25">
      <c r="C1329"/>
      <c r="D1329"/>
    </row>
    <row r="1330" spans="3:4" x14ac:dyDescent="0.25">
      <c r="C1330"/>
      <c r="D1330"/>
    </row>
    <row r="1331" spans="3:4" x14ac:dyDescent="0.25">
      <c r="C1331"/>
      <c r="D1331"/>
    </row>
    <row r="1332" spans="3:4" x14ac:dyDescent="0.25">
      <c r="C1332"/>
      <c r="D1332"/>
    </row>
    <row r="1333" spans="3:4" x14ac:dyDescent="0.25">
      <c r="C1333"/>
      <c r="D1333"/>
    </row>
    <row r="1334" spans="3:4" x14ac:dyDescent="0.25">
      <c r="C1334"/>
      <c r="D1334"/>
    </row>
    <row r="1335" spans="3:4" x14ac:dyDescent="0.25">
      <c r="C1335"/>
      <c r="D1335"/>
    </row>
    <row r="1336" spans="3:4" x14ac:dyDescent="0.25">
      <c r="C1336"/>
      <c r="D1336"/>
    </row>
    <row r="1337" spans="3:4" x14ac:dyDescent="0.25">
      <c r="C1337"/>
      <c r="D1337"/>
    </row>
    <row r="1338" spans="3:4" x14ac:dyDescent="0.25">
      <c r="C1338"/>
      <c r="D1338"/>
    </row>
    <row r="1339" spans="3:4" x14ac:dyDescent="0.25">
      <c r="C1339"/>
      <c r="D1339"/>
    </row>
    <row r="1340" spans="3:4" x14ac:dyDescent="0.25">
      <c r="C1340"/>
      <c r="D1340"/>
    </row>
    <row r="1341" spans="3:4" x14ac:dyDescent="0.25">
      <c r="C1341"/>
      <c r="D1341"/>
    </row>
    <row r="1342" spans="3:4" x14ac:dyDescent="0.25">
      <c r="C1342"/>
      <c r="D1342"/>
    </row>
    <row r="1343" spans="3:4" x14ac:dyDescent="0.25">
      <c r="C1343"/>
      <c r="D1343"/>
    </row>
    <row r="1344" spans="3:4" x14ac:dyDescent="0.25">
      <c r="C1344"/>
      <c r="D1344"/>
    </row>
    <row r="1345" spans="3:4" x14ac:dyDescent="0.25">
      <c r="C1345"/>
      <c r="D1345"/>
    </row>
    <row r="1346" spans="3:4" x14ac:dyDescent="0.25">
      <c r="C1346"/>
      <c r="D1346"/>
    </row>
    <row r="1347" spans="3:4" x14ac:dyDescent="0.25">
      <c r="C1347"/>
      <c r="D1347"/>
    </row>
    <row r="1348" spans="3:4" x14ac:dyDescent="0.25">
      <c r="C1348"/>
      <c r="D1348"/>
    </row>
    <row r="1349" spans="3:4" x14ac:dyDescent="0.25">
      <c r="C1349"/>
      <c r="D1349"/>
    </row>
    <row r="1350" spans="3:4" x14ac:dyDescent="0.25">
      <c r="C1350"/>
      <c r="D1350"/>
    </row>
    <row r="1351" spans="3:4" x14ac:dyDescent="0.25">
      <c r="C1351"/>
      <c r="D1351"/>
    </row>
    <row r="1352" spans="3:4" x14ac:dyDescent="0.25">
      <c r="C1352"/>
      <c r="D1352"/>
    </row>
    <row r="1353" spans="3:4" x14ac:dyDescent="0.25">
      <c r="C1353"/>
      <c r="D1353"/>
    </row>
    <row r="1354" spans="3:4" x14ac:dyDescent="0.25">
      <c r="C1354"/>
      <c r="D1354"/>
    </row>
    <row r="1355" spans="3:4" x14ac:dyDescent="0.25">
      <c r="C1355"/>
      <c r="D1355"/>
    </row>
    <row r="1356" spans="3:4" x14ac:dyDescent="0.25">
      <c r="C1356"/>
      <c r="D1356"/>
    </row>
    <row r="1357" spans="3:4" x14ac:dyDescent="0.25">
      <c r="C1357"/>
      <c r="D1357"/>
    </row>
    <row r="1358" spans="3:4" x14ac:dyDescent="0.25">
      <c r="C1358"/>
      <c r="D1358"/>
    </row>
    <row r="1359" spans="3:4" x14ac:dyDescent="0.25">
      <c r="C1359"/>
      <c r="D1359"/>
    </row>
    <row r="1360" spans="3:4" x14ac:dyDescent="0.25">
      <c r="C1360"/>
      <c r="D1360"/>
    </row>
    <row r="1361" spans="3:4" x14ac:dyDescent="0.25">
      <c r="C1361"/>
      <c r="D1361"/>
    </row>
    <row r="1362" spans="3:4" x14ac:dyDescent="0.25">
      <c r="C1362"/>
      <c r="D1362"/>
    </row>
    <row r="1363" spans="3:4" x14ac:dyDescent="0.25">
      <c r="C1363"/>
      <c r="D1363"/>
    </row>
    <row r="1364" spans="3:4" x14ac:dyDescent="0.25">
      <c r="C1364"/>
      <c r="D1364"/>
    </row>
    <row r="1365" spans="3:4" x14ac:dyDescent="0.25">
      <c r="C1365"/>
      <c r="D1365"/>
    </row>
    <row r="1366" spans="3:4" x14ac:dyDescent="0.25">
      <c r="C1366"/>
      <c r="D1366"/>
    </row>
    <row r="1367" spans="3:4" x14ac:dyDescent="0.25">
      <c r="C1367"/>
      <c r="D1367"/>
    </row>
    <row r="1368" spans="3:4" x14ac:dyDescent="0.25">
      <c r="C1368"/>
      <c r="D1368"/>
    </row>
    <row r="1369" spans="3:4" x14ac:dyDescent="0.25">
      <c r="C1369"/>
      <c r="D1369"/>
    </row>
    <row r="1370" spans="3:4" x14ac:dyDescent="0.25">
      <c r="C1370"/>
      <c r="D1370"/>
    </row>
    <row r="1371" spans="3:4" x14ac:dyDescent="0.25">
      <c r="C1371"/>
      <c r="D1371"/>
    </row>
    <row r="1372" spans="3:4" x14ac:dyDescent="0.25">
      <c r="C1372"/>
      <c r="D1372"/>
    </row>
    <row r="1373" spans="3:4" x14ac:dyDescent="0.25">
      <c r="C1373"/>
      <c r="D1373"/>
    </row>
    <row r="1374" spans="3:4" x14ac:dyDescent="0.25">
      <c r="C1374"/>
      <c r="D1374"/>
    </row>
    <row r="1375" spans="3:4" x14ac:dyDescent="0.25">
      <c r="C1375"/>
      <c r="D1375"/>
    </row>
    <row r="1376" spans="3:4" x14ac:dyDescent="0.25">
      <c r="C1376"/>
      <c r="D1376"/>
    </row>
    <row r="1377" spans="3:4" x14ac:dyDescent="0.25">
      <c r="C1377"/>
      <c r="D1377"/>
    </row>
    <row r="1378" spans="3:4" x14ac:dyDescent="0.25">
      <c r="C1378"/>
      <c r="D1378"/>
    </row>
    <row r="1379" spans="3:4" x14ac:dyDescent="0.25">
      <c r="C1379"/>
      <c r="D1379"/>
    </row>
    <row r="1380" spans="3:4" x14ac:dyDescent="0.25">
      <c r="C1380"/>
      <c r="D1380"/>
    </row>
    <row r="1381" spans="3:4" x14ac:dyDescent="0.25">
      <c r="C1381"/>
      <c r="D1381"/>
    </row>
    <row r="1382" spans="3:4" x14ac:dyDescent="0.25">
      <c r="C1382"/>
      <c r="D1382"/>
    </row>
    <row r="1383" spans="3:4" x14ac:dyDescent="0.25">
      <c r="C1383"/>
      <c r="D1383"/>
    </row>
    <row r="1384" spans="3:4" x14ac:dyDescent="0.25">
      <c r="C1384"/>
      <c r="D1384"/>
    </row>
    <row r="1385" spans="3:4" x14ac:dyDescent="0.25">
      <c r="C1385"/>
      <c r="D1385"/>
    </row>
    <row r="1386" spans="3:4" x14ac:dyDescent="0.25">
      <c r="C1386"/>
      <c r="D1386"/>
    </row>
    <row r="1387" spans="3:4" x14ac:dyDescent="0.25">
      <c r="C1387"/>
      <c r="D1387"/>
    </row>
    <row r="1388" spans="3:4" x14ac:dyDescent="0.25">
      <c r="C1388"/>
      <c r="D1388"/>
    </row>
    <row r="1389" spans="3:4" x14ac:dyDescent="0.25">
      <c r="C1389"/>
      <c r="D1389"/>
    </row>
    <row r="1390" spans="3:4" x14ac:dyDescent="0.25">
      <c r="C1390"/>
      <c r="D1390"/>
    </row>
    <row r="1391" spans="3:4" x14ac:dyDescent="0.25">
      <c r="C1391"/>
      <c r="D1391"/>
    </row>
    <row r="1392" spans="3:4" x14ac:dyDescent="0.25">
      <c r="C1392"/>
      <c r="D1392"/>
    </row>
    <row r="1393" spans="3:4" x14ac:dyDescent="0.25">
      <c r="C1393"/>
      <c r="D1393"/>
    </row>
    <row r="1394" spans="3:4" x14ac:dyDescent="0.25">
      <c r="C1394"/>
      <c r="D1394"/>
    </row>
    <row r="1395" spans="3:4" x14ac:dyDescent="0.25">
      <c r="C1395"/>
      <c r="D1395"/>
    </row>
    <row r="1396" spans="3:4" x14ac:dyDescent="0.25">
      <c r="C1396"/>
      <c r="D1396"/>
    </row>
    <row r="1397" spans="3:4" x14ac:dyDescent="0.25">
      <c r="C1397"/>
      <c r="D1397"/>
    </row>
    <row r="1398" spans="3:4" x14ac:dyDescent="0.25">
      <c r="C1398"/>
      <c r="D1398"/>
    </row>
    <row r="1399" spans="3:4" x14ac:dyDescent="0.25">
      <c r="C1399"/>
      <c r="D1399"/>
    </row>
    <row r="1400" spans="3:4" x14ac:dyDescent="0.25">
      <c r="C1400"/>
      <c r="D1400"/>
    </row>
    <row r="1401" spans="3:4" x14ac:dyDescent="0.25">
      <c r="C1401"/>
      <c r="D1401"/>
    </row>
    <row r="1402" spans="3:4" x14ac:dyDescent="0.25">
      <c r="C1402"/>
      <c r="D1402"/>
    </row>
    <row r="1403" spans="3:4" x14ac:dyDescent="0.25">
      <c r="C1403"/>
      <c r="D1403"/>
    </row>
    <row r="1404" spans="3:4" x14ac:dyDescent="0.25">
      <c r="C1404"/>
      <c r="D1404"/>
    </row>
    <row r="1405" spans="3:4" x14ac:dyDescent="0.25">
      <c r="C1405"/>
      <c r="D1405"/>
    </row>
    <row r="1406" spans="3:4" x14ac:dyDescent="0.25">
      <c r="C1406"/>
      <c r="D1406"/>
    </row>
    <row r="1407" spans="3:4" x14ac:dyDescent="0.25">
      <c r="C1407"/>
      <c r="D1407"/>
    </row>
    <row r="1408" spans="3:4" x14ac:dyDescent="0.25">
      <c r="C1408"/>
      <c r="D1408"/>
    </row>
    <row r="1409" spans="3:4" x14ac:dyDescent="0.25">
      <c r="C1409"/>
      <c r="D1409"/>
    </row>
    <row r="1410" spans="3:4" x14ac:dyDescent="0.25">
      <c r="C1410"/>
      <c r="D1410"/>
    </row>
    <row r="1411" spans="3:4" x14ac:dyDescent="0.25">
      <c r="C1411"/>
      <c r="D1411"/>
    </row>
    <row r="1412" spans="3:4" x14ac:dyDescent="0.25">
      <c r="C1412"/>
      <c r="D1412"/>
    </row>
    <row r="1413" spans="3:4" x14ac:dyDescent="0.25">
      <c r="C1413"/>
      <c r="D1413"/>
    </row>
    <row r="1414" spans="3:4" x14ac:dyDescent="0.25">
      <c r="C1414"/>
      <c r="D1414"/>
    </row>
    <row r="1415" spans="3:4" x14ac:dyDescent="0.25">
      <c r="C1415"/>
      <c r="D1415"/>
    </row>
    <row r="1416" spans="3:4" x14ac:dyDescent="0.25">
      <c r="C1416"/>
      <c r="D1416"/>
    </row>
    <row r="1417" spans="3:4" x14ac:dyDescent="0.25">
      <c r="C1417"/>
      <c r="D1417"/>
    </row>
    <row r="1418" spans="3:4" x14ac:dyDescent="0.25">
      <c r="C1418"/>
      <c r="D1418"/>
    </row>
    <row r="1419" spans="3:4" x14ac:dyDescent="0.25">
      <c r="C1419"/>
      <c r="D1419"/>
    </row>
    <row r="1420" spans="3:4" x14ac:dyDescent="0.25">
      <c r="C1420"/>
      <c r="D1420"/>
    </row>
    <row r="1421" spans="3:4" x14ac:dyDescent="0.25">
      <c r="C1421"/>
      <c r="D1421"/>
    </row>
    <row r="1422" spans="3:4" x14ac:dyDescent="0.25">
      <c r="C1422"/>
      <c r="D1422"/>
    </row>
    <row r="1423" spans="3:4" x14ac:dyDescent="0.25">
      <c r="C1423"/>
      <c r="D1423"/>
    </row>
    <row r="1424" spans="3:4" x14ac:dyDescent="0.25">
      <c r="C1424"/>
      <c r="D1424"/>
    </row>
    <row r="1425" spans="3:4" x14ac:dyDescent="0.25">
      <c r="C1425"/>
      <c r="D1425"/>
    </row>
    <row r="1426" spans="3:4" x14ac:dyDescent="0.25">
      <c r="C1426"/>
      <c r="D1426"/>
    </row>
    <row r="1427" spans="3:4" x14ac:dyDescent="0.25">
      <c r="C1427"/>
      <c r="D1427"/>
    </row>
    <row r="1428" spans="3:4" x14ac:dyDescent="0.25">
      <c r="C1428"/>
      <c r="D1428"/>
    </row>
    <row r="1429" spans="3:4" x14ac:dyDescent="0.25">
      <c r="C1429"/>
      <c r="D1429"/>
    </row>
    <row r="1430" spans="3:4" x14ac:dyDescent="0.25">
      <c r="C1430"/>
      <c r="D1430"/>
    </row>
    <row r="1431" spans="3:4" x14ac:dyDescent="0.25">
      <c r="C1431"/>
      <c r="D1431"/>
    </row>
    <row r="1432" spans="3:4" x14ac:dyDescent="0.25">
      <c r="C1432"/>
      <c r="D1432"/>
    </row>
    <row r="1433" spans="3:4" x14ac:dyDescent="0.25">
      <c r="C1433"/>
      <c r="D1433"/>
    </row>
    <row r="1434" spans="3:4" x14ac:dyDescent="0.25">
      <c r="C1434"/>
      <c r="D1434"/>
    </row>
    <row r="1435" spans="3:4" x14ac:dyDescent="0.25">
      <c r="C1435"/>
      <c r="D1435"/>
    </row>
    <row r="1436" spans="3:4" x14ac:dyDescent="0.25">
      <c r="C1436"/>
      <c r="D1436"/>
    </row>
    <row r="1437" spans="3:4" x14ac:dyDescent="0.25">
      <c r="C1437"/>
      <c r="D1437"/>
    </row>
    <row r="1438" spans="3:4" x14ac:dyDescent="0.25">
      <c r="C1438"/>
      <c r="D1438"/>
    </row>
    <row r="1439" spans="3:4" x14ac:dyDescent="0.25">
      <c r="C1439"/>
      <c r="D1439"/>
    </row>
    <row r="1440" spans="3:4" x14ac:dyDescent="0.25">
      <c r="C1440"/>
      <c r="D1440"/>
    </row>
    <row r="1441" spans="3:4" x14ac:dyDescent="0.25">
      <c r="C1441"/>
      <c r="D1441"/>
    </row>
    <row r="1442" spans="3:4" x14ac:dyDescent="0.25">
      <c r="C1442"/>
      <c r="D1442"/>
    </row>
    <row r="1443" spans="3:4" x14ac:dyDescent="0.25">
      <c r="C1443"/>
      <c r="D1443"/>
    </row>
    <row r="1444" spans="3:4" x14ac:dyDescent="0.25">
      <c r="C1444"/>
      <c r="D1444"/>
    </row>
    <row r="1445" spans="3:4" x14ac:dyDescent="0.25">
      <c r="C1445"/>
      <c r="D1445"/>
    </row>
    <row r="1446" spans="3:4" x14ac:dyDescent="0.25">
      <c r="C1446"/>
      <c r="D1446"/>
    </row>
    <row r="1447" spans="3:4" x14ac:dyDescent="0.25">
      <c r="C1447"/>
      <c r="D1447"/>
    </row>
    <row r="1448" spans="3:4" x14ac:dyDescent="0.25">
      <c r="C1448"/>
      <c r="D1448"/>
    </row>
    <row r="1449" spans="3:4" x14ac:dyDescent="0.25">
      <c r="C1449"/>
      <c r="D1449"/>
    </row>
    <row r="1450" spans="3:4" x14ac:dyDescent="0.25">
      <c r="C1450"/>
      <c r="D1450"/>
    </row>
    <row r="1451" spans="3:4" x14ac:dyDescent="0.25">
      <c r="C1451"/>
      <c r="D1451"/>
    </row>
    <row r="1452" spans="3:4" x14ac:dyDescent="0.25">
      <c r="C1452"/>
      <c r="D1452"/>
    </row>
    <row r="1453" spans="3:4" x14ac:dyDescent="0.25">
      <c r="C1453"/>
      <c r="D1453"/>
    </row>
    <row r="1454" spans="3:4" x14ac:dyDescent="0.25">
      <c r="C1454"/>
      <c r="D1454"/>
    </row>
    <row r="1455" spans="3:4" x14ac:dyDescent="0.25">
      <c r="C1455"/>
      <c r="D1455"/>
    </row>
    <row r="1456" spans="3:4" x14ac:dyDescent="0.25">
      <c r="C1456"/>
      <c r="D1456"/>
    </row>
    <row r="1457" spans="3:4" x14ac:dyDescent="0.25">
      <c r="C1457"/>
      <c r="D1457"/>
    </row>
    <row r="1458" spans="3:4" x14ac:dyDescent="0.25">
      <c r="C1458"/>
      <c r="D1458"/>
    </row>
    <row r="1459" spans="3:4" x14ac:dyDescent="0.25">
      <c r="C1459"/>
      <c r="D1459"/>
    </row>
    <row r="1460" spans="3:4" x14ac:dyDescent="0.25">
      <c r="C1460"/>
      <c r="D1460"/>
    </row>
    <row r="1461" spans="3:4" x14ac:dyDescent="0.25">
      <c r="C1461"/>
      <c r="D1461"/>
    </row>
    <row r="1462" spans="3:4" x14ac:dyDescent="0.25">
      <c r="C1462"/>
      <c r="D1462"/>
    </row>
    <row r="1463" spans="3:4" x14ac:dyDescent="0.25">
      <c r="C1463"/>
      <c r="D1463"/>
    </row>
    <row r="1464" spans="3:4" x14ac:dyDescent="0.25">
      <c r="C1464"/>
      <c r="D1464"/>
    </row>
    <row r="1465" spans="3:4" x14ac:dyDescent="0.25">
      <c r="C1465"/>
      <c r="D1465"/>
    </row>
    <row r="1466" spans="3:4" x14ac:dyDescent="0.25">
      <c r="C1466"/>
      <c r="D1466"/>
    </row>
    <row r="1467" spans="3:4" x14ac:dyDescent="0.25">
      <c r="C1467"/>
      <c r="D1467"/>
    </row>
    <row r="1468" spans="3:4" x14ac:dyDescent="0.25">
      <c r="C1468"/>
      <c r="D1468"/>
    </row>
    <row r="1469" spans="3:4" x14ac:dyDescent="0.25">
      <c r="C1469"/>
      <c r="D1469"/>
    </row>
    <row r="1470" spans="3:4" x14ac:dyDescent="0.25">
      <c r="C1470"/>
      <c r="D1470"/>
    </row>
    <row r="1471" spans="3:4" x14ac:dyDescent="0.25">
      <c r="C1471"/>
      <c r="D1471"/>
    </row>
    <row r="1472" spans="3:4" x14ac:dyDescent="0.25">
      <c r="C1472"/>
      <c r="D1472"/>
    </row>
    <row r="1473" spans="3:4" x14ac:dyDescent="0.25">
      <c r="C1473"/>
      <c r="D1473"/>
    </row>
    <row r="1474" spans="3:4" x14ac:dyDescent="0.25">
      <c r="C1474"/>
      <c r="D1474"/>
    </row>
    <row r="1475" spans="3:4" x14ac:dyDescent="0.25">
      <c r="C1475"/>
      <c r="D1475"/>
    </row>
    <row r="1476" spans="3:4" x14ac:dyDescent="0.25">
      <c r="C1476"/>
      <c r="D1476"/>
    </row>
    <row r="1477" spans="3:4" x14ac:dyDescent="0.25">
      <c r="C1477"/>
      <c r="D1477"/>
    </row>
    <row r="1478" spans="3:4" x14ac:dyDescent="0.25">
      <c r="C1478"/>
      <c r="D1478"/>
    </row>
    <row r="1479" spans="3:4" x14ac:dyDescent="0.25">
      <c r="C1479"/>
      <c r="D1479"/>
    </row>
    <row r="1480" spans="3:4" x14ac:dyDescent="0.25">
      <c r="C1480"/>
      <c r="D1480"/>
    </row>
    <row r="1481" spans="3:4" x14ac:dyDescent="0.25">
      <c r="C1481"/>
      <c r="D1481"/>
    </row>
    <row r="1482" spans="3:4" x14ac:dyDescent="0.25">
      <c r="C1482"/>
      <c r="D1482"/>
    </row>
    <row r="1483" spans="3:4" x14ac:dyDescent="0.25">
      <c r="C1483"/>
      <c r="D1483"/>
    </row>
    <row r="1484" spans="3:4" x14ac:dyDescent="0.25">
      <c r="C1484"/>
      <c r="D1484"/>
    </row>
    <row r="1485" spans="3:4" x14ac:dyDescent="0.25">
      <c r="C1485"/>
      <c r="D1485"/>
    </row>
    <row r="1486" spans="3:4" x14ac:dyDescent="0.25">
      <c r="C1486"/>
      <c r="D1486"/>
    </row>
    <row r="1487" spans="3:4" x14ac:dyDescent="0.25">
      <c r="C1487"/>
      <c r="D1487"/>
    </row>
    <row r="1488" spans="3:4" x14ac:dyDescent="0.25">
      <c r="C1488"/>
      <c r="D1488"/>
    </row>
    <row r="1489" spans="3:4" x14ac:dyDescent="0.25">
      <c r="C1489"/>
      <c r="D1489"/>
    </row>
    <row r="1490" spans="3:4" x14ac:dyDescent="0.25">
      <c r="C1490"/>
      <c r="D1490"/>
    </row>
    <row r="1491" spans="3:4" x14ac:dyDescent="0.25">
      <c r="C1491"/>
      <c r="D1491"/>
    </row>
    <row r="1492" spans="3:4" x14ac:dyDescent="0.25">
      <c r="C1492"/>
      <c r="D1492"/>
    </row>
    <row r="1493" spans="3:4" x14ac:dyDescent="0.25">
      <c r="C1493"/>
      <c r="D1493"/>
    </row>
    <row r="1494" spans="3:4" x14ac:dyDescent="0.25">
      <c r="C1494"/>
      <c r="D1494"/>
    </row>
    <row r="1495" spans="3:4" x14ac:dyDescent="0.25">
      <c r="C1495"/>
      <c r="D1495"/>
    </row>
    <row r="1496" spans="3:4" x14ac:dyDescent="0.25">
      <c r="C1496"/>
      <c r="D1496"/>
    </row>
    <row r="1497" spans="3:4" x14ac:dyDescent="0.25">
      <c r="C1497"/>
      <c r="D1497"/>
    </row>
    <row r="1498" spans="3:4" x14ac:dyDescent="0.25">
      <c r="C1498"/>
      <c r="D1498"/>
    </row>
    <row r="1499" spans="3:4" x14ac:dyDescent="0.25">
      <c r="C1499"/>
      <c r="D1499"/>
    </row>
    <row r="1500" spans="3:4" x14ac:dyDescent="0.25">
      <c r="C1500"/>
      <c r="D1500"/>
    </row>
    <row r="1501" spans="3:4" x14ac:dyDescent="0.25">
      <c r="C1501"/>
      <c r="D1501"/>
    </row>
    <row r="1502" spans="3:4" x14ac:dyDescent="0.25">
      <c r="C1502"/>
      <c r="D1502"/>
    </row>
    <row r="1503" spans="3:4" x14ac:dyDescent="0.25">
      <c r="C1503"/>
      <c r="D1503"/>
    </row>
    <row r="1504" spans="3:4" x14ac:dyDescent="0.25">
      <c r="C1504"/>
      <c r="D1504"/>
    </row>
    <row r="1505" spans="3:4" x14ac:dyDescent="0.25">
      <c r="C1505"/>
      <c r="D1505"/>
    </row>
    <row r="1506" spans="3:4" x14ac:dyDescent="0.25">
      <c r="C1506"/>
      <c r="D1506"/>
    </row>
    <row r="1507" spans="3:4" x14ac:dyDescent="0.25">
      <c r="C1507"/>
      <c r="D1507"/>
    </row>
    <row r="1508" spans="3:4" x14ac:dyDescent="0.25">
      <c r="C1508"/>
      <c r="D1508"/>
    </row>
    <row r="1509" spans="3:4" x14ac:dyDescent="0.25">
      <c r="C1509"/>
      <c r="D1509"/>
    </row>
    <row r="1510" spans="3:4" x14ac:dyDescent="0.25">
      <c r="C1510"/>
      <c r="D1510"/>
    </row>
    <row r="1511" spans="3:4" x14ac:dyDescent="0.25">
      <c r="C1511"/>
      <c r="D1511"/>
    </row>
    <row r="1512" spans="3:4" x14ac:dyDescent="0.25">
      <c r="C1512"/>
      <c r="D1512"/>
    </row>
    <row r="1513" spans="3:4" x14ac:dyDescent="0.25">
      <c r="C1513"/>
      <c r="D1513"/>
    </row>
    <row r="1514" spans="3:4" x14ac:dyDescent="0.25">
      <c r="C1514"/>
      <c r="D1514"/>
    </row>
    <row r="1515" spans="3:4" x14ac:dyDescent="0.25">
      <c r="C1515"/>
      <c r="D1515"/>
    </row>
    <row r="1516" spans="3:4" x14ac:dyDescent="0.25">
      <c r="C1516"/>
      <c r="D1516"/>
    </row>
    <row r="1517" spans="3:4" x14ac:dyDescent="0.25">
      <c r="C1517"/>
      <c r="D1517"/>
    </row>
    <row r="1518" spans="3:4" x14ac:dyDescent="0.25">
      <c r="C1518"/>
      <c r="D1518"/>
    </row>
    <row r="1519" spans="3:4" x14ac:dyDescent="0.25">
      <c r="C1519"/>
      <c r="D1519"/>
    </row>
    <row r="1520" spans="3:4" x14ac:dyDescent="0.25">
      <c r="C1520"/>
      <c r="D1520"/>
    </row>
    <row r="1521" spans="3:4" x14ac:dyDescent="0.25">
      <c r="C1521"/>
      <c r="D1521"/>
    </row>
    <row r="1522" spans="3:4" x14ac:dyDescent="0.25">
      <c r="C1522"/>
      <c r="D1522"/>
    </row>
    <row r="1523" spans="3:4" x14ac:dyDescent="0.25">
      <c r="C1523"/>
      <c r="D1523"/>
    </row>
    <row r="1524" spans="3:4" x14ac:dyDescent="0.25">
      <c r="C1524"/>
      <c r="D1524"/>
    </row>
    <row r="1525" spans="3:4" x14ac:dyDescent="0.25">
      <c r="C1525"/>
      <c r="D1525"/>
    </row>
    <row r="1526" spans="3:4" x14ac:dyDescent="0.25">
      <c r="C1526"/>
      <c r="D1526"/>
    </row>
    <row r="1527" spans="3:4" x14ac:dyDescent="0.25">
      <c r="C1527"/>
      <c r="D1527"/>
    </row>
    <row r="1528" spans="3:4" x14ac:dyDescent="0.25">
      <c r="C1528"/>
      <c r="D1528"/>
    </row>
    <row r="1529" spans="3:4" x14ac:dyDescent="0.25">
      <c r="C1529"/>
      <c r="D1529"/>
    </row>
    <row r="1530" spans="3:4" x14ac:dyDescent="0.25">
      <c r="C1530"/>
      <c r="D1530"/>
    </row>
    <row r="1531" spans="3:4" x14ac:dyDescent="0.25">
      <c r="C1531"/>
      <c r="D1531"/>
    </row>
    <row r="1532" spans="3:4" x14ac:dyDescent="0.25">
      <c r="C1532"/>
      <c r="D1532"/>
    </row>
    <row r="1533" spans="3:4" x14ac:dyDescent="0.25">
      <c r="C1533"/>
      <c r="D1533"/>
    </row>
    <row r="1534" spans="3:4" x14ac:dyDescent="0.25">
      <c r="C1534"/>
      <c r="D1534"/>
    </row>
    <row r="1535" spans="3:4" x14ac:dyDescent="0.25">
      <c r="C1535"/>
      <c r="D1535"/>
    </row>
    <row r="1536" spans="3:4" x14ac:dyDescent="0.25">
      <c r="C1536"/>
      <c r="D1536"/>
    </row>
    <row r="1537" spans="3:4" x14ac:dyDescent="0.25">
      <c r="C1537"/>
      <c r="D1537"/>
    </row>
    <row r="1538" spans="3:4" x14ac:dyDescent="0.25">
      <c r="C1538"/>
      <c r="D1538"/>
    </row>
    <row r="1539" spans="3:4" x14ac:dyDescent="0.25">
      <c r="C1539"/>
      <c r="D1539"/>
    </row>
    <row r="1540" spans="3:4" x14ac:dyDescent="0.25">
      <c r="C1540"/>
      <c r="D1540"/>
    </row>
    <row r="1541" spans="3:4" x14ac:dyDescent="0.25">
      <c r="C1541"/>
      <c r="D1541"/>
    </row>
    <row r="1542" spans="3:4" x14ac:dyDescent="0.25">
      <c r="C1542"/>
      <c r="D1542"/>
    </row>
    <row r="1543" spans="3:4" x14ac:dyDescent="0.25">
      <c r="C1543"/>
      <c r="D1543"/>
    </row>
    <row r="1544" spans="3:4" x14ac:dyDescent="0.25">
      <c r="C1544"/>
      <c r="D1544"/>
    </row>
    <row r="1545" spans="3:4" x14ac:dyDescent="0.25">
      <c r="C1545"/>
      <c r="D1545"/>
    </row>
    <row r="1546" spans="3:4" x14ac:dyDescent="0.25">
      <c r="C1546"/>
      <c r="D1546"/>
    </row>
    <row r="1547" spans="3:4" x14ac:dyDescent="0.25">
      <c r="C1547"/>
      <c r="D1547"/>
    </row>
    <row r="1548" spans="3:4" x14ac:dyDescent="0.25">
      <c r="C1548"/>
      <c r="D1548"/>
    </row>
    <row r="1549" spans="3:4" x14ac:dyDescent="0.25">
      <c r="C1549"/>
      <c r="D1549"/>
    </row>
    <row r="1550" spans="3:4" x14ac:dyDescent="0.25">
      <c r="C1550"/>
      <c r="D1550"/>
    </row>
    <row r="1551" spans="3:4" x14ac:dyDescent="0.25">
      <c r="C1551"/>
      <c r="D1551"/>
    </row>
    <row r="1552" spans="3:4" x14ac:dyDescent="0.25">
      <c r="C1552"/>
      <c r="D1552"/>
    </row>
    <row r="1553" spans="3:4" x14ac:dyDescent="0.25">
      <c r="C1553"/>
      <c r="D1553"/>
    </row>
    <row r="1554" spans="3:4" x14ac:dyDescent="0.25">
      <c r="C1554"/>
      <c r="D1554"/>
    </row>
    <row r="1555" spans="3:4" x14ac:dyDescent="0.25">
      <c r="C1555"/>
      <c r="D1555"/>
    </row>
    <row r="1556" spans="3:4" x14ac:dyDescent="0.25">
      <c r="C1556"/>
      <c r="D1556"/>
    </row>
    <row r="1557" spans="3:4" x14ac:dyDescent="0.25">
      <c r="C1557"/>
      <c r="D1557"/>
    </row>
    <row r="1558" spans="3:4" x14ac:dyDescent="0.25">
      <c r="C1558"/>
      <c r="D1558"/>
    </row>
    <row r="1559" spans="3:4" x14ac:dyDescent="0.25">
      <c r="C1559"/>
      <c r="D1559"/>
    </row>
    <row r="1560" spans="3:4" x14ac:dyDescent="0.25">
      <c r="C1560"/>
      <c r="D1560"/>
    </row>
    <row r="1561" spans="3:4" x14ac:dyDescent="0.25">
      <c r="C1561"/>
      <c r="D1561"/>
    </row>
    <row r="1562" spans="3:4" x14ac:dyDescent="0.25">
      <c r="C1562"/>
      <c r="D1562"/>
    </row>
    <row r="1563" spans="3:4" x14ac:dyDescent="0.25">
      <c r="C1563"/>
      <c r="D1563"/>
    </row>
    <row r="1564" spans="3:4" x14ac:dyDescent="0.25">
      <c r="C1564"/>
      <c r="D1564"/>
    </row>
    <row r="1565" spans="3:4" x14ac:dyDescent="0.25">
      <c r="C1565"/>
      <c r="D1565"/>
    </row>
    <row r="1566" spans="3:4" x14ac:dyDescent="0.25">
      <c r="C1566"/>
      <c r="D1566"/>
    </row>
    <row r="1567" spans="3:4" x14ac:dyDescent="0.25">
      <c r="C1567"/>
      <c r="D1567"/>
    </row>
    <row r="1568" spans="3:4" x14ac:dyDescent="0.25">
      <c r="C1568"/>
      <c r="D1568"/>
    </row>
    <row r="1569" spans="3:4" x14ac:dyDescent="0.25">
      <c r="C1569"/>
      <c r="D1569"/>
    </row>
    <row r="1570" spans="3:4" x14ac:dyDescent="0.25">
      <c r="C1570"/>
      <c r="D1570"/>
    </row>
    <row r="1571" spans="3:4" x14ac:dyDescent="0.25">
      <c r="C1571"/>
      <c r="D1571"/>
    </row>
    <row r="1572" spans="3:4" x14ac:dyDescent="0.25">
      <c r="C1572"/>
      <c r="D1572"/>
    </row>
    <row r="1573" spans="3:4" x14ac:dyDescent="0.25">
      <c r="C1573"/>
      <c r="D1573"/>
    </row>
    <row r="1574" spans="3:4" x14ac:dyDescent="0.25">
      <c r="C1574"/>
      <c r="D1574"/>
    </row>
    <row r="1575" spans="3:4" x14ac:dyDescent="0.25">
      <c r="C1575"/>
      <c r="D1575"/>
    </row>
    <row r="1576" spans="3:4" x14ac:dyDescent="0.25">
      <c r="C1576"/>
      <c r="D1576"/>
    </row>
    <row r="1577" spans="3:4" x14ac:dyDescent="0.25">
      <c r="C1577"/>
      <c r="D1577"/>
    </row>
    <row r="1578" spans="3:4" x14ac:dyDescent="0.25">
      <c r="C1578"/>
      <c r="D1578"/>
    </row>
    <row r="1579" spans="3:4" x14ac:dyDescent="0.25">
      <c r="C1579"/>
      <c r="D1579"/>
    </row>
    <row r="1580" spans="3:4" x14ac:dyDescent="0.25">
      <c r="C1580"/>
      <c r="D1580"/>
    </row>
    <row r="1581" spans="3:4" x14ac:dyDescent="0.25">
      <c r="C1581"/>
      <c r="D1581"/>
    </row>
    <row r="1582" spans="3:4" x14ac:dyDescent="0.25">
      <c r="C1582"/>
      <c r="D1582"/>
    </row>
    <row r="1583" spans="3:4" x14ac:dyDescent="0.25">
      <c r="C1583"/>
      <c r="D1583"/>
    </row>
    <row r="1584" spans="3:4" x14ac:dyDescent="0.25">
      <c r="C1584"/>
      <c r="D1584"/>
    </row>
    <row r="1585" spans="3:4" x14ac:dyDescent="0.25">
      <c r="C1585"/>
      <c r="D1585"/>
    </row>
    <row r="1586" spans="3:4" x14ac:dyDescent="0.25">
      <c r="C1586"/>
      <c r="D1586"/>
    </row>
    <row r="1587" spans="3:4" x14ac:dyDescent="0.25">
      <c r="C1587"/>
      <c r="D1587"/>
    </row>
    <row r="1588" spans="3:4" x14ac:dyDescent="0.25">
      <c r="C1588"/>
      <c r="D1588"/>
    </row>
    <row r="1589" spans="3:4" x14ac:dyDescent="0.25">
      <c r="C1589"/>
      <c r="D1589"/>
    </row>
    <row r="1590" spans="3:4" x14ac:dyDescent="0.25">
      <c r="C1590"/>
      <c r="D1590"/>
    </row>
    <row r="1591" spans="3:4" x14ac:dyDescent="0.25">
      <c r="C1591"/>
      <c r="D1591"/>
    </row>
    <row r="1592" spans="3:4" x14ac:dyDescent="0.25">
      <c r="C1592"/>
      <c r="D1592"/>
    </row>
    <row r="1593" spans="3:4" x14ac:dyDescent="0.25">
      <c r="C1593"/>
      <c r="D1593"/>
    </row>
    <row r="1594" spans="3:4" x14ac:dyDescent="0.25">
      <c r="C1594"/>
      <c r="D1594"/>
    </row>
    <row r="1595" spans="3:4" x14ac:dyDescent="0.25">
      <c r="C1595"/>
      <c r="D1595"/>
    </row>
    <row r="1596" spans="3:4" x14ac:dyDescent="0.25">
      <c r="C1596"/>
      <c r="D1596"/>
    </row>
    <row r="1597" spans="3:4" x14ac:dyDescent="0.25">
      <c r="C1597"/>
      <c r="D1597"/>
    </row>
    <row r="1598" spans="3:4" x14ac:dyDescent="0.25">
      <c r="C1598"/>
      <c r="D1598"/>
    </row>
    <row r="1599" spans="3:4" x14ac:dyDescent="0.25">
      <c r="C1599"/>
      <c r="D1599"/>
    </row>
    <row r="1600" spans="3:4" x14ac:dyDescent="0.25">
      <c r="C1600"/>
      <c r="D1600"/>
    </row>
    <row r="1601" spans="3:4" x14ac:dyDescent="0.25">
      <c r="C1601"/>
      <c r="D1601"/>
    </row>
    <row r="1602" spans="3:4" x14ac:dyDescent="0.25">
      <c r="C1602"/>
      <c r="D1602"/>
    </row>
    <row r="1603" spans="3:4" x14ac:dyDescent="0.25">
      <c r="C1603"/>
      <c r="D1603"/>
    </row>
    <row r="1604" spans="3:4" x14ac:dyDescent="0.25">
      <c r="C1604"/>
      <c r="D1604"/>
    </row>
    <row r="1605" spans="3:4" x14ac:dyDescent="0.25">
      <c r="C1605"/>
      <c r="D1605"/>
    </row>
    <row r="1606" spans="3:4" x14ac:dyDescent="0.25">
      <c r="C1606"/>
      <c r="D1606"/>
    </row>
    <row r="1607" spans="3:4" x14ac:dyDescent="0.25">
      <c r="C1607"/>
      <c r="D1607"/>
    </row>
    <row r="1608" spans="3:4" x14ac:dyDescent="0.25">
      <c r="C1608"/>
      <c r="D1608"/>
    </row>
    <row r="1609" spans="3:4" x14ac:dyDescent="0.25">
      <c r="C1609"/>
      <c r="D1609"/>
    </row>
    <row r="1610" spans="3:4" x14ac:dyDescent="0.25">
      <c r="C1610"/>
      <c r="D1610"/>
    </row>
    <row r="1611" spans="3:4" x14ac:dyDescent="0.25">
      <c r="C1611"/>
      <c r="D1611"/>
    </row>
    <row r="1612" spans="3:4" x14ac:dyDescent="0.25">
      <c r="C1612"/>
      <c r="D1612"/>
    </row>
    <row r="1613" spans="3:4" x14ac:dyDescent="0.25">
      <c r="C1613"/>
      <c r="D1613"/>
    </row>
    <row r="1614" spans="3:4" x14ac:dyDescent="0.25">
      <c r="C1614"/>
      <c r="D1614"/>
    </row>
    <row r="1615" spans="3:4" x14ac:dyDescent="0.25">
      <c r="C1615"/>
      <c r="D1615"/>
    </row>
    <row r="1616" spans="3:4" x14ac:dyDescent="0.25">
      <c r="C1616"/>
      <c r="D1616"/>
    </row>
    <row r="1617" spans="3:4" x14ac:dyDescent="0.25">
      <c r="C1617"/>
      <c r="D1617"/>
    </row>
    <row r="1618" spans="3:4" x14ac:dyDescent="0.25">
      <c r="C1618"/>
      <c r="D1618"/>
    </row>
    <row r="1619" spans="3:4" x14ac:dyDescent="0.25">
      <c r="C1619"/>
      <c r="D1619"/>
    </row>
    <row r="1620" spans="3:4" x14ac:dyDescent="0.25">
      <c r="C1620"/>
      <c r="D1620"/>
    </row>
    <row r="1621" spans="3:4" x14ac:dyDescent="0.25">
      <c r="C1621"/>
      <c r="D1621"/>
    </row>
    <row r="1622" spans="3:4" x14ac:dyDescent="0.25">
      <c r="C1622"/>
      <c r="D1622"/>
    </row>
    <row r="1623" spans="3:4" x14ac:dyDescent="0.25">
      <c r="C1623"/>
      <c r="D1623"/>
    </row>
    <row r="1624" spans="3:4" x14ac:dyDescent="0.25">
      <c r="C1624"/>
      <c r="D1624"/>
    </row>
    <row r="1625" spans="3:4" x14ac:dyDescent="0.25">
      <c r="C1625"/>
      <c r="D1625"/>
    </row>
    <row r="1626" spans="3:4" x14ac:dyDescent="0.25">
      <c r="C1626"/>
      <c r="D1626"/>
    </row>
    <row r="1627" spans="3:4" x14ac:dyDescent="0.25">
      <c r="C1627"/>
      <c r="D1627"/>
    </row>
    <row r="1628" spans="3:4" x14ac:dyDescent="0.25">
      <c r="C1628"/>
      <c r="D1628"/>
    </row>
    <row r="1629" spans="3:4" x14ac:dyDescent="0.25">
      <c r="C1629"/>
      <c r="D1629"/>
    </row>
    <row r="1630" spans="3:4" x14ac:dyDescent="0.25">
      <c r="C1630"/>
      <c r="D1630"/>
    </row>
    <row r="1631" spans="3:4" x14ac:dyDescent="0.25">
      <c r="C1631"/>
      <c r="D1631"/>
    </row>
    <row r="1632" spans="3:4" x14ac:dyDescent="0.25">
      <c r="C1632"/>
      <c r="D1632"/>
    </row>
    <row r="1633" spans="3:4" x14ac:dyDescent="0.25">
      <c r="C1633"/>
      <c r="D1633"/>
    </row>
    <row r="1634" spans="3:4" x14ac:dyDescent="0.25">
      <c r="C1634"/>
      <c r="D1634"/>
    </row>
    <row r="1635" spans="3:4" x14ac:dyDescent="0.25">
      <c r="C1635"/>
      <c r="D1635"/>
    </row>
    <row r="1636" spans="3:4" x14ac:dyDescent="0.25">
      <c r="C1636"/>
      <c r="D1636"/>
    </row>
    <row r="1637" spans="3:4" x14ac:dyDescent="0.25">
      <c r="C1637"/>
      <c r="D1637"/>
    </row>
    <row r="1638" spans="3:4" x14ac:dyDescent="0.25">
      <c r="C1638"/>
      <c r="D1638"/>
    </row>
    <row r="1639" spans="3:4" x14ac:dyDescent="0.25">
      <c r="C1639"/>
      <c r="D1639"/>
    </row>
    <row r="1640" spans="3:4" x14ac:dyDescent="0.25">
      <c r="C1640"/>
      <c r="D1640"/>
    </row>
    <row r="1641" spans="3:4" x14ac:dyDescent="0.25">
      <c r="C1641"/>
      <c r="D1641"/>
    </row>
    <row r="1642" spans="3:4" x14ac:dyDescent="0.25">
      <c r="C1642"/>
      <c r="D1642"/>
    </row>
    <row r="1643" spans="3:4" x14ac:dyDescent="0.25">
      <c r="C1643"/>
      <c r="D1643"/>
    </row>
    <row r="1644" spans="3:4" x14ac:dyDescent="0.25">
      <c r="C1644"/>
      <c r="D1644"/>
    </row>
    <row r="1645" spans="3:4" x14ac:dyDescent="0.25">
      <c r="C1645"/>
      <c r="D1645"/>
    </row>
    <row r="1646" spans="3:4" x14ac:dyDescent="0.25">
      <c r="C1646"/>
      <c r="D1646"/>
    </row>
    <row r="1647" spans="3:4" x14ac:dyDescent="0.25">
      <c r="C1647"/>
      <c r="D1647"/>
    </row>
    <row r="1648" spans="3:4" x14ac:dyDescent="0.25">
      <c r="C1648"/>
      <c r="D1648"/>
    </row>
    <row r="1649" spans="3:4" x14ac:dyDescent="0.25">
      <c r="C1649"/>
      <c r="D1649"/>
    </row>
    <row r="1650" spans="3:4" x14ac:dyDescent="0.25">
      <c r="C1650"/>
      <c r="D1650"/>
    </row>
    <row r="1651" spans="3:4" x14ac:dyDescent="0.25">
      <c r="C1651"/>
      <c r="D1651"/>
    </row>
    <row r="1652" spans="3:4" x14ac:dyDescent="0.25">
      <c r="C1652"/>
      <c r="D1652"/>
    </row>
    <row r="1653" spans="3:4" x14ac:dyDescent="0.25">
      <c r="C1653"/>
      <c r="D1653"/>
    </row>
    <row r="1654" spans="3:4" x14ac:dyDescent="0.25">
      <c r="C1654"/>
      <c r="D1654"/>
    </row>
    <row r="1655" spans="3:4" x14ac:dyDescent="0.25">
      <c r="C1655"/>
      <c r="D1655"/>
    </row>
    <row r="1656" spans="3:4" x14ac:dyDescent="0.25">
      <c r="C1656"/>
      <c r="D1656"/>
    </row>
    <row r="1657" spans="3:4" x14ac:dyDescent="0.25">
      <c r="C1657"/>
      <c r="D1657"/>
    </row>
    <row r="1658" spans="3:4" x14ac:dyDescent="0.25">
      <c r="C1658"/>
      <c r="D1658"/>
    </row>
    <row r="1659" spans="3:4" x14ac:dyDescent="0.25">
      <c r="C1659"/>
      <c r="D1659"/>
    </row>
    <row r="1660" spans="3:4" x14ac:dyDescent="0.25">
      <c r="C1660"/>
      <c r="D1660"/>
    </row>
    <row r="1661" spans="3:4" x14ac:dyDescent="0.25">
      <c r="C1661"/>
      <c r="D1661"/>
    </row>
    <row r="1662" spans="3:4" x14ac:dyDescent="0.25">
      <c r="C1662"/>
      <c r="D1662"/>
    </row>
    <row r="1663" spans="3:4" x14ac:dyDescent="0.25">
      <c r="C1663"/>
      <c r="D1663"/>
    </row>
    <row r="1664" spans="3:4" x14ac:dyDescent="0.25">
      <c r="C1664"/>
      <c r="D1664"/>
    </row>
    <row r="1665" spans="3:4" x14ac:dyDescent="0.25">
      <c r="C1665"/>
      <c r="D1665"/>
    </row>
    <row r="1666" spans="3:4" x14ac:dyDescent="0.25">
      <c r="C1666"/>
      <c r="D1666"/>
    </row>
    <row r="1667" spans="3:4" x14ac:dyDescent="0.25">
      <c r="C1667"/>
      <c r="D1667"/>
    </row>
    <row r="1668" spans="3:4" x14ac:dyDescent="0.25">
      <c r="C1668"/>
      <c r="D1668"/>
    </row>
    <row r="1669" spans="3:4" x14ac:dyDescent="0.25">
      <c r="C1669"/>
      <c r="D1669"/>
    </row>
    <row r="1670" spans="3:4" x14ac:dyDescent="0.25">
      <c r="C1670"/>
      <c r="D1670"/>
    </row>
    <row r="1671" spans="3:4" x14ac:dyDescent="0.25">
      <c r="C1671"/>
      <c r="D1671"/>
    </row>
    <row r="1672" spans="3:4" x14ac:dyDescent="0.25">
      <c r="C1672"/>
      <c r="D1672"/>
    </row>
    <row r="1673" spans="3:4" x14ac:dyDescent="0.25">
      <c r="C1673"/>
      <c r="D1673"/>
    </row>
    <row r="1674" spans="3:4" x14ac:dyDescent="0.25">
      <c r="C1674"/>
      <c r="D1674"/>
    </row>
    <row r="1675" spans="3:4" x14ac:dyDescent="0.25">
      <c r="C1675"/>
      <c r="D1675"/>
    </row>
    <row r="1676" spans="3:4" x14ac:dyDescent="0.25">
      <c r="C1676"/>
      <c r="D1676"/>
    </row>
    <row r="1677" spans="3:4" x14ac:dyDescent="0.25">
      <c r="C1677"/>
      <c r="D1677"/>
    </row>
    <row r="1678" spans="3:4" x14ac:dyDescent="0.25">
      <c r="C1678"/>
      <c r="D1678"/>
    </row>
    <row r="1679" spans="3:4" x14ac:dyDescent="0.25">
      <c r="C1679"/>
      <c r="D1679"/>
    </row>
    <row r="1680" spans="3:4" x14ac:dyDescent="0.25">
      <c r="C1680"/>
      <c r="D1680"/>
    </row>
    <row r="1681" spans="3:4" x14ac:dyDescent="0.25">
      <c r="C1681"/>
      <c r="D1681"/>
    </row>
    <row r="1682" spans="3:4" x14ac:dyDescent="0.25">
      <c r="C1682"/>
      <c r="D1682"/>
    </row>
    <row r="1683" spans="3:4" x14ac:dyDescent="0.25">
      <c r="C1683"/>
      <c r="D1683"/>
    </row>
    <row r="1684" spans="3:4" x14ac:dyDescent="0.25">
      <c r="C1684"/>
      <c r="D1684"/>
    </row>
    <row r="1685" spans="3:4" x14ac:dyDescent="0.25">
      <c r="C1685"/>
      <c r="D1685"/>
    </row>
    <row r="1686" spans="3:4" x14ac:dyDescent="0.25">
      <c r="C1686"/>
      <c r="D1686"/>
    </row>
    <row r="1687" spans="3:4" x14ac:dyDescent="0.25">
      <c r="C1687"/>
      <c r="D1687"/>
    </row>
    <row r="1688" spans="3:4" x14ac:dyDescent="0.25">
      <c r="C1688"/>
      <c r="D1688"/>
    </row>
    <row r="1689" spans="3:4" x14ac:dyDescent="0.25">
      <c r="C1689"/>
      <c r="D1689"/>
    </row>
    <row r="1690" spans="3:4" x14ac:dyDescent="0.25">
      <c r="C1690"/>
      <c r="D1690"/>
    </row>
    <row r="1691" spans="3:4" x14ac:dyDescent="0.25">
      <c r="C1691"/>
      <c r="D1691"/>
    </row>
    <row r="1692" spans="3:4" x14ac:dyDescent="0.25">
      <c r="C1692"/>
      <c r="D1692"/>
    </row>
    <row r="1693" spans="3:4" x14ac:dyDescent="0.25">
      <c r="C1693"/>
      <c r="D1693"/>
    </row>
    <row r="1694" spans="3:4" x14ac:dyDescent="0.25">
      <c r="C1694"/>
      <c r="D1694"/>
    </row>
    <row r="1695" spans="3:4" x14ac:dyDescent="0.25">
      <c r="C1695"/>
      <c r="D1695"/>
    </row>
    <row r="1696" spans="3:4" x14ac:dyDescent="0.25">
      <c r="C1696"/>
      <c r="D1696"/>
    </row>
    <row r="1697" spans="3:4" x14ac:dyDescent="0.25">
      <c r="C1697"/>
      <c r="D1697"/>
    </row>
    <row r="1698" spans="3:4" x14ac:dyDescent="0.25">
      <c r="C1698"/>
      <c r="D1698"/>
    </row>
    <row r="1699" spans="3:4" x14ac:dyDescent="0.25">
      <c r="C1699"/>
      <c r="D1699"/>
    </row>
    <row r="1700" spans="3:4" x14ac:dyDescent="0.25">
      <c r="C1700"/>
      <c r="D1700"/>
    </row>
    <row r="1701" spans="3:4" x14ac:dyDescent="0.25">
      <c r="C1701"/>
      <c r="D1701"/>
    </row>
    <row r="1702" spans="3:4" x14ac:dyDescent="0.25">
      <c r="C1702"/>
      <c r="D1702"/>
    </row>
    <row r="1703" spans="3:4" x14ac:dyDescent="0.25">
      <c r="C1703"/>
      <c r="D1703"/>
    </row>
    <row r="1704" spans="3:4" x14ac:dyDescent="0.25">
      <c r="C1704"/>
      <c r="D1704"/>
    </row>
    <row r="1705" spans="3:4" x14ac:dyDescent="0.25">
      <c r="C1705"/>
      <c r="D1705"/>
    </row>
    <row r="1706" spans="3:4" x14ac:dyDescent="0.25">
      <c r="C1706"/>
      <c r="D1706"/>
    </row>
    <row r="1707" spans="3:4" x14ac:dyDescent="0.25">
      <c r="C1707"/>
      <c r="D1707"/>
    </row>
    <row r="1708" spans="3:4" x14ac:dyDescent="0.25">
      <c r="C1708"/>
      <c r="D1708"/>
    </row>
    <row r="1709" spans="3:4" x14ac:dyDescent="0.25">
      <c r="C1709"/>
      <c r="D1709"/>
    </row>
    <row r="1710" spans="3:4" x14ac:dyDescent="0.25">
      <c r="C1710"/>
      <c r="D1710"/>
    </row>
    <row r="1711" spans="3:4" x14ac:dyDescent="0.25">
      <c r="C1711"/>
      <c r="D1711"/>
    </row>
    <row r="1712" spans="3:4" x14ac:dyDescent="0.25">
      <c r="C1712"/>
      <c r="D1712"/>
    </row>
    <row r="1713" spans="3:4" x14ac:dyDescent="0.25">
      <c r="C1713"/>
      <c r="D1713"/>
    </row>
    <row r="1714" spans="3:4" x14ac:dyDescent="0.25">
      <c r="C1714"/>
      <c r="D1714"/>
    </row>
    <row r="1715" spans="3:4" x14ac:dyDescent="0.25">
      <c r="C1715"/>
      <c r="D1715"/>
    </row>
    <row r="1716" spans="3:4" x14ac:dyDescent="0.25">
      <c r="C1716"/>
      <c r="D1716"/>
    </row>
    <row r="1717" spans="3:4" x14ac:dyDescent="0.25">
      <c r="C1717"/>
      <c r="D1717"/>
    </row>
    <row r="1718" spans="3:4" x14ac:dyDescent="0.25">
      <c r="C1718"/>
      <c r="D1718"/>
    </row>
    <row r="1719" spans="3:4" x14ac:dyDescent="0.25">
      <c r="C1719"/>
      <c r="D1719"/>
    </row>
    <row r="1720" spans="3:4" x14ac:dyDescent="0.25">
      <c r="C1720"/>
      <c r="D1720"/>
    </row>
    <row r="1721" spans="3:4" x14ac:dyDescent="0.25">
      <c r="C1721"/>
      <c r="D1721"/>
    </row>
    <row r="1722" spans="3:4" x14ac:dyDescent="0.25">
      <c r="C1722"/>
      <c r="D1722"/>
    </row>
    <row r="1723" spans="3:4" x14ac:dyDescent="0.25">
      <c r="C1723"/>
      <c r="D1723"/>
    </row>
    <row r="1724" spans="3:4" x14ac:dyDescent="0.25">
      <c r="C1724"/>
      <c r="D1724"/>
    </row>
    <row r="1725" spans="3:4" x14ac:dyDescent="0.25">
      <c r="C1725"/>
      <c r="D1725"/>
    </row>
    <row r="1726" spans="3:4" x14ac:dyDescent="0.25">
      <c r="C1726"/>
      <c r="D1726"/>
    </row>
    <row r="1727" spans="3:4" x14ac:dyDescent="0.25">
      <c r="C1727"/>
      <c r="D1727"/>
    </row>
    <row r="1728" spans="3:4" x14ac:dyDescent="0.25">
      <c r="C1728"/>
      <c r="D1728"/>
    </row>
    <row r="1729" spans="3:4" x14ac:dyDescent="0.25">
      <c r="C1729"/>
      <c r="D1729"/>
    </row>
    <row r="1730" spans="3:4" x14ac:dyDescent="0.25">
      <c r="C1730"/>
      <c r="D1730"/>
    </row>
    <row r="1731" spans="3:4" x14ac:dyDescent="0.25">
      <c r="C1731"/>
      <c r="D1731"/>
    </row>
    <row r="1732" spans="3:4" x14ac:dyDescent="0.25">
      <c r="C1732"/>
      <c r="D1732"/>
    </row>
    <row r="1733" spans="3:4" x14ac:dyDescent="0.25">
      <c r="C1733"/>
      <c r="D1733"/>
    </row>
    <row r="1734" spans="3:4" x14ac:dyDescent="0.25">
      <c r="C1734"/>
      <c r="D1734"/>
    </row>
    <row r="1735" spans="3:4" x14ac:dyDescent="0.25">
      <c r="C1735"/>
      <c r="D1735"/>
    </row>
    <row r="1736" spans="3:4" x14ac:dyDescent="0.25">
      <c r="C1736"/>
      <c r="D1736"/>
    </row>
    <row r="1737" spans="3:4" x14ac:dyDescent="0.25">
      <c r="C1737"/>
      <c r="D1737"/>
    </row>
    <row r="1738" spans="3:4" x14ac:dyDescent="0.25">
      <c r="C1738"/>
      <c r="D1738"/>
    </row>
    <row r="1739" spans="3:4" x14ac:dyDescent="0.25">
      <c r="C1739"/>
      <c r="D1739"/>
    </row>
    <row r="1740" spans="3:4" x14ac:dyDescent="0.25">
      <c r="C1740"/>
      <c r="D1740"/>
    </row>
    <row r="1741" spans="3:4" x14ac:dyDescent="0.25">
      <c r="C1741"/>
      <c r="D1741"/>
    </row>
    <row r="1742" spans="3:4" x14ac:dyDescent="0.25">
      <c r="C1742"/>
      <c r="D1742"/>
    </row>
    <row r="1743" spans="3:4" x14ac:dyDescent="0.25">
      <c r="C1743"/>
      <c r="D1743"/>
    </row>
    <row r="1744" spans="3:4" x14ac:dyDescent="0.25">
      <c r="C1744"/>
      <c r="D1744"/>
    </row>
    <row r="1745" spans="3:4" x14ac:dyDescent="0.25">
      <c r="C1745"/>
      <c r="D1745"/>
    </row>
    <row r="1746" spans="3:4" x14ac:dyDescent="0.25">
      <c r="C1746"/>
      <c r="D1746"/>
    </row>
    <row r="1747" spans="3:4" x14ac:dyDescent="0.25">
      <c r="C1747"/>
      <c r="D1747"/>
    </row>
    <row r="1748" spans="3:4" x14ac:dyDescent="0.25">
      <c r="C1748"/>
      <c r="D1748"/>
    </row>
    <row r="1749" spans="3:4" x14ac:dyDescent="0.25">
      <c r="C1749"/>
      <c r="D1749"/>
    </row>
    <row r="1750" spans="3:4" x14ac:dyDescent="0.25">
      <c r="C1750"/>
      <c r="D1750"/>
    </row>
    <row r="1751" spans="3:4" x14ac:dyDescent="0.25">
      <c r="C1751"/>
      <c r="D1751"/>
    </row>
    <row r="1752" spans="3:4" x14ac:dyDescent="0.25">
      <c r="C1752"/>
      <c r="D1752"/>
    </row>
    <row r="1753" spans="3:4" x14ac:dyDescent="0.25">
      <c r="C1753"/>
      <c r="D1753"/>
    </row>
    <row r="1754" spans="3:4" x14ac:dyDescent="0.25">
      <c r="C1754"/>
      <c r="D1754"/>
    </row>
    <row r="1755" spans="3:4" x14ac:dyDescent="0.25">
      <c r="C1755"/>
      <c r="D1755"/>
    </row>
    <row r="1756" spans="3:4" x14ac:dyDescent="0.25">
      <c r="C1756"/>
      <c r="D1756"/>
    </row>
    <row r="1757" spans="3:4" x14ac:dyDescent="0.25">
      <c r="C1757"/>
      <c r="D1757"/>
    </row>
    <row r="1758" spans="3:4" x14ac:dyDescent="0.25">
      <c r="C1758"/>
      <c r="D1758"/>
    </row>
    <row r="1759" spans="3:4" x14ac:dyDescent="0.25">
      <c r="C1759"/>
      <c r="D1759"/>
    </row>
    <row r="1760" spans="3:4" x14ac:dyDescent="0.25">
      <c r="C1760"/>
      <c r="D1760"/>
    </row>
    <row r="1761" spans="3:4" x14ac:dyDescent="0.25">
      <c r="C1761"/>
      <c r="D1761"/>
    </row>
    <row r="1762" spans="3:4" x14ac:dyDescent="0.25">
      <c r="C1762"/>
      <c r="D1762"/>
    </row>
    <row r="1763" spans="3:4" x14ac:dyDescent="0.25">
      <c r="C1763"/>
      <c r="D1763"/>
    </row>
    <row r="1764" spans="3:4" x14ac:dyDescent="0.25">
      <c r="C1764"/>
      <c r="D1764"/>
    </row>
    <row r="1765" spans="3:4" x14ac:dyDescent="0.25">
      <c r="C1765"/>
      <c r="D1765"/>
    </row>
    <row r="1766" spans="3:4" x14ac:dyDescent="0.25">
      <c r="C1766"/>
      <c r="D1766"/>
    </row>
    <row r="1767" spans="3:4" x14ac:dyDescent="0.25">
      <c r="C1767"/>
      <c r="D1767"/>
    </row>
    <row r="1768" spans="3:4" x14ac:dyDescent="0.25">
      <c r="C1768"/>
      <c r="D1768"/>
    </row>
    <row r="1769" spans="3:4" x14ac:dyDescent="0.25">
      <c r="C1769"/>
      <c r="D1769"/>
    </row>
    <row r="1770" spans="3:4" x14ac:dyDescent="0.25">
      <c r="C1770"/>
      <c r="D1770"/>
    </row>
    <row r="1771" spans="3:4" x14ac:dyDescent="0.25">
      <c r="C1771"/>
      <c r="D1771"/>
    </row>
    <row r="1772" spans="3:4" x14ac:dyDescent="0.25">
      <c r="C1772"/>
      <c r="D1772"/>
    </row>
    <row r="1773" spans="3:4" x14ac:dyDescent="0.25">
      <c r="C1773"/>
      <c r="D1773"/>
    </row>
    <row r="1774" spans="3:4" x14ac:dyDescent="0.25">
      <c r="C1774"/>
      <c r="D1774"/>
    </row>
    <row r="1775" spans="3:4" x14ac:dyDescent="0.25">
      <c r="C1775"/>
      <c r="D1775"/>
    </row>
    <row r="1776" spans="3:4" x14ac:dyDescent="0.25">
      <c r="C1776"/>
      <c r="D1776"/>
    </row>
    <row r="1777" spans="3:4" x14ac:dyDescent="0.25">
      <c r="C1777"/>
      <c r="D1777"/>
    </row>
    <row r="1778" spans="3:4" x14ac:dyDescent="0.25">
      <c r="C1778"/>
      <c r="D1778"/>
    </row>
    <row r="1779" spans="3:4" x14ac:dyDescent="0.25">
      <c r="C1779"/>
      <c r="D1779"/>
    </row>
    <row r="1780" spans="3:4" x14ac:dyDescent="0.25">
      <c r="C1780"/>
      <c r="D1780"/>
    </row>
    <row r="1781" spans="3:4" x14ac:dyDescent="0.25">
      <c r="C1781"/>
      <c r="D1781"/>
    </row>
    <row r="1782" spans="3:4" x14ac:dyDescent="0.25">
      <c r="C1782"/>
      <c r="D1782"/>
    </row>
    <row r="1783" spans="3:4" x14ac:dyDescent="0.25">
      <c r="C1783"/>
      <c r="D1783"/>
    </row>
    <row r="1784" spans="3:4" x14ac:dyDescent="0.25">
      <c r="C1784"/>
      <c r="D1784"/>
    </row>
    <row r="1785" spans="3:4" x14ac:dyDescent="0.25">
      <c r="C1785"/>
      <c r="D1785"/>
    </row>
    <row r="1786" spans="3:4" x14ac:dyDescent="0.25">
      <c r="C1786"/>
      <c r="D1786"/>
    </row>
    <row r="1787" spans="3:4" x14ac:dyDescent="0.25">
      <c r="C1787"/>
      <c r="D1787"/>
    </row>
    <row r="1788" spans="3:4" x14ac:dyDescent="0.25">
      <c r="C1788"/>
      <c r="D1788"/>
    </row>
    <row r="1789" spans="3:4" x14ac:dyDescent="0.25">
      <c r="C1789"/>
      <c r="D1789"/>
    </row>
    <row r="1790" spans="3:4" x14ac:dyDescent="0.25">
      <c r="C1790"/>
      <c r="D1790"/>
    </row>
    <row r="1791" spans="3:4" x14ac:dyDescent="0.25">
      <c r="C1791"/>
      <c r="D1791"/>
    </row>
    <row r="1792" spans="3:4" x14ac:dyDescent="0.25">
      <c r="C1792"/>
      <c r="D1792"/>
    </row>
    <row r="1793" spans="3:4" x14ac:dyDescent="0.25">
      <c r="C1793"/>
      <c r="D1793"/>
    </row>
    <row r="1794" spans="3:4" x14ac:dyDescent="0.25">
      <c r="C1794"/>
      <c r="D1794"/>
    </row>
    <row r="1795" spans="3:4" x14ac:dyDescent="0.25">
      <c r="C1795"/>
      <c r="D1795"/>
    </row>
    <row r="1796" spans="3:4" x14ac:dyDescent="0.25">
      <c r="C1796"/>
      <c r="D1796"/>
    </row>
    <row r="1797" spans="3:4" x14ac:dyDescent="0.25">
      <c r="C1797"/>
      <c r="D1797"/>
    </row>
    <row r="1798" spans="3:4" x14ac:dyDescent="0.25">
      <c r="C1798"/>
      <c r="D1798"/>
    </row>
    <row r="1799" spans="3:4" x14ac:dyDescent="0.25">
      <c r="C1799"/>
      <c r="D1799"/>
    </row>
    <row r="1800" spans="3:4" x14ac:dyDescent="0.25">
      <c r="C1800"/>
      <c r="D1800"/>
    </row>
    <row r="1801" spans="3:4" x14ac:dyDescent="0.25">
      <c r="C1801"/>
      <c r="D1801"/>
    </row>
    <row r="1802" spans="3:4" x14ac:dyDescent="0.25">
      <c r="C1802"/>
      <c r="D1802"/>
    </row>
    <row r="1803" spans="3:4" x14ac:dyDescent="0.25">
      <c r="C1803"/>
      <c r="D1803"/>
    </row>
    <row r="1804" spans="3:4" x14ac:dyDescent="0.25">
      <c r="C1804"/>
      <c r="D1804"/>
    </row>
    <row r="1805" spans="3:4" x14ac:dyDescent="0.25">
      <c r="C1805"/>
      <c r="D1805"/>
    </row>
    <row r="1806" spans="3:4" x14ac:dyDescent="0.25">
      <c r="C1806"/>
      <c r="D1806"/>
    </row>
    <row r="1807" spans="3:4" x14ac:dyDescent="0.25">
      <c r="C1807"/>
      <c r="D1807"/>
    </row>
    <row r="1808" spans="3:4" x14ac:dyDescent="0.25">
      <c r="C1808"/>
      <c r="D1808"/>
    </row>
    <row r="1809" spans="3:4" x14ac:dyDescent="0.25">
      <c r="C1809"/>
      <c r="D1809"/>
    </row>
    <row r="1810" spans="3:4" x14ac:dyDescent="0.25">
      <c r="C1810"/>
      <c r="D1810"/>
    </row>
    <row r="1811" spans="3:4" x14ac:dyDescent="0.25">
      <c r="C1811"/>
      <c r="D1811"/>
    </row>
    <row r="1812" spans="3:4" x14ac:dyDescent="0.25">
      <c r="C1812"/>
      <c r="D1812"/>
    </row>
    <row r="1813" spans="3:4" x14ac:dyDescent="0.25">
      <c r="C1813"/>
      <c r="D1813"/>
    </row>
    <row r="1814" spans="3:4" x14ac:dyDescent="0.25">
      <c r="C1814"/>
      <c r="D1814"/>
    </row>
    <row r="1815" spans="3:4" x14ac:dyDescent="0.25">
      <c r="C1815"/>
      <c r="D1815"/>
    </row>
    <row r="1816" spans="3:4" x14ac:dyDescent="0.25">
      <c r="C1816"/>
      <c r="D1816"/>
    </row>
    <row r="1817" spans="3:4" x14ac:dyDescent="0.25">
      <c r="C1817"/>
      <c r="D1817"/>
    </row>
    <row r="1818" spans="3:4" x14ac:dyDescent="0.25">
      <c r="C1818"/>
      <c r="D1818"/>
    </row>
    <row r="1819" spans="3:4" x14ac:dyDescent="0.25">
      <c r="C1819"/>
      <c r="D1819"/>
    </row>
    <row r="1820" spans="3:4" x14ac:dyDescent="0.25">
      <c r="C1820"/>
      <c r="D1820"/>
    </row>
    <row r="1821" spans="3:4" x14ac:dyDescent="0.25">
      <c r="C1821"/>
      <c r="D1821"/>
    </row>
    <row r="1822" spans="3:4" x14ac:dyDescent="0.25">
      <c r="C1822"/>
      <c r="D1822"/>
    </row>
    <row r="1823" spans="3:4" x14ac:dyDescent="0.25">
      <c r="C1823"/>
      <c r="D1823"/>
    </row>
    <row r="1824" spans="3:4" x14ac:dyDescent="0.25">
      <c r="C1824"/>
      <c r="D1824"/>
    </row>
    <row r="1825" spans="3:4" x14ac:dyDescent="0.25">
      <c r="C1825"/>
      <c r="D1825"/>
    </row>
    <row r="1826" spans="3:4" x14ac:dyDescent="0.25">
      <c r="C1826"/>
      <c r="D1826"/>
    </row>
    <row r="1827" spans="3:4" x14ac:dyDescent="0.25">
      <c r="C1827"/>
      <c r="D1827"/>
    </row>
    <row r="1828" spans="3:4" x14ac:dyDescent="0.25">
      <c r="C1828"/>
      <c r="D1828"/>
    </row>
    <row r="1829" spans="3:4" x14ac:dyDescent="0.25">
      <c r="C1829"/>
      <c r="D1829"/>
    </row>
    <row r="1830" spans="3:4" x14ac:dyDescent="0.25">
      <c r="C1830"/>
      <c r="D1830"/>
    </row>
    <row r="1831" spans="3:4" x14ac:dyDescent="0.25">
      <c r="C1831"/>
      <c r="D1831"/>
    </row>
    <row r="1832" spans="3:4" x14ac:dyDescent="0.25">
      <c r="C1832"/>
      <c r="D1832"/>
    </row>
    <row r="1833" spans="3:4" x14ac:dyDescent="0.25">
      <c r="C1833"/>
      <c r="D1833"/>
    </row>
    <row r="1834" spans="3:4" x14ac:dyDescent="0.25">
      <c r="C1834"/>
      <c r="D1834"/>
    </row>
    <row r="1835" spans="3:4" x14ac:dyDescent="0.25">
      <c r="C1835"/>
      <c r="D1835"/>
    </row>
    <row r="1836" spans="3:4" x14ac:dyDescent="0.25">
      <c r="C1836"/>
      <c r="D1836"/>
    </row>
    <row r="1837" spans="3:4" x14ac:dyDescent="0.25">
      <c r="C1837"/>
      <c r="D1837"/>
    </row>
    <row r="1838" spans="3:4" x14ac:dyDescent="0.25">
      <c r="C1838"/>
      <c r="D1838"/>
    </row>
    <row r="1839" spans="3:4" x14ac:dyDescent="0.25">
      <c r="C1839"/>
      <c r="D1839"/>
    </row>
    <row r="1840" spans="3:4" x14ac:dyDescent="0.25">
      <c r="C1840"/>
      <c r="D1840"/>
    </row>
    <row r="1841" spans="3:4" x14ac:dyDescent="0.25">
      <c r="C1841"/>
      <c r="D1841"/>
    </row>
    <row r="1842" spans="3:4" x14ac:dyDescent="0.25">
      <c r="C1842"/>
      <c r="D1842"/>
    </row>
    <row r="1843" spans="3:4" x14ac:dyDescent="0.25">
      <c r="C1843"/>
      <c r="D1843"/>
    </row>
    <row r="1844" spans="3:4" x14ac:dyDescent="0.25">
      <c r="C1844"/>
      <c r="D1844"/>
    </row>
    <row r="1845" spans="3:4" x14ac:dyDescent="0.25">
      <c r="C1845"/>
      <c r="D1845"/>
    </row>
    <row r="1846" spans="3:4" x14ac:dyDescent="0.25">
      <c r="C1846"/>
      <c r="D1846"/>
    </row>
    <row r="1847" spans="3:4" x14ac:dyDescent="0.25">
      <c r="C1847"/>
      <c r="D1847"/>
    </row>
    <row r="1848" spans="3:4" x14ac:dyDescent="0.25">
      <c r="C1848"/>
      <c r="D1848"/>
    </row>
    <row r="1849" spans="3:4" x14ac:dyDescent="0.25">
      <c r="C1849"/>
      <c r="D1849"/>
    </row>
    <row r="1850" spans="3:4" x14ac:dyDescent="0.25">
      <c r="C1850"/>
      <c r="D1850"/>
    </row>
    <row r="1851" spans="3:4" x14ac:dyDescent="0.25">
      <c r="C1851"/>
      <c r="D1851"/>
    </row>
    <row r="1852" spans="3:4" x14ac:dyDescent="0.25">
      <c r="C1852"/>
      <c r="D1852"/>
    </row>
    <row r="1853" spans="3:4" x14ac:dyDescent="0.25">
      <c r="C1853"/>
      <c r="D1853"/>
    </row>
    <row r="1854" spans="3:4" x14ac:dyDescent="0.25">
      <c r="C1854"/>
      <c r="D1854"/>
    </row>
    <row r="1855" spans="3:4" x14ac:dyDescent="0.25">
      <c r="C1855"/>
      <c r="D1855"/>
    </row>
    <row r="1856" spans="3:4" x14ac:dyDescent="0.25">
      <c r="C1856"/>
      <c r="D1856"/>
    </row>
    <row r="1857" spans="3:4" x14ac:dyDescent="0.25">
      <c r="C1857"/>
      <c r="D1857"/>
    </row>
    <row r="1858" spans="3:4" x14ac:dyDescent="0.25">
      <c r="C1858"/>
      <c r="D1858"/>
    </row>
    <row r="1859" spans="3:4" x14ac:dyDescent="0.25">
      <c r="C1859"/>
      <c r="D1859"/>
    </row>
    <row r="1860" spans="3:4" x14ac:dyDescent="0.25">
      <c r="C1860"/>
      <c r="D1860"/>
    </row>
    <row r="1861" spans="3:4" x14ac:dyDescent="0.25">
      <c r="C1861"/>
      <c r="D1861"/>
    </row>
    <row r="1862" spans="3:4" x14ac:dyDescent="0.25">
      <c r="C1862"/>
      <c r="D1862"/>
    </row>
    <row r="1863" spans="3:4" x14ac:dyDescent="0.25">
      <c r="C1863"/>
      <c r="D1863"/>
    </row>
    <row r="1864" spans="3:4" x14ac:dyDescent="0.25">
      <c r="C1864"/>
      <c r="D1864"/>
    </row>
    <row r="1865" spans="3:4" x14ac:dyDescent="0.25">
      <c r="C1865"/>
      <c r="D1865"/>
    </row>
    <row r="1866" spans="3:4" x14ac:dyDescent="0.25">
      <c r="C1866"/>
      <c r="D1866"/>
    </row>
    <row r="1867" spans="3:4" x14ac:dyDescent="0.25">
      <c r="C1867"/>
      <c r="D1867"/>
    </row>
    <row r="1868" spans="3:4" x14ac:dyDescent="0.25">
      <c r="C1868"/>
      <c r="D1868"/>
    </row>
    <row r="1869" spans="3:4" x14ac:dyDescent="0.25">
      <c r="C1869"/>
      <c r="D1869"/>
    </row>
    <row r="1870" spans="3:4" x14ac:dyDescent="0.25">
      <c r="C1870"/>
      <c r="D1870"/>
    </row>
    <row r="1871" spans="3:4" x14ac:dyDescent="0.25">
      <c r="C1871"/>
      <c r="D1871"/>
    </row>
    <row r="1872" spans="3:4" x14ac:dyDescent="0.25">
      <c r="C1872"/>
      <c r="D1872"/>
    </row>
    <row r="1873" spans="3:4" x14ac:dyDescent="0.25">
      <c r="C1873"/>
      <c r="D1873"/>
    </row>
    <row r="1874" spans="3:4" x14ac:dyDescent="0.25">
      <c r="C1874"/>
      <c r="D1874"/>
    </row>
    <row r="1875" spans="3:4" x14ac:dyDescent="0.25">
      <c r="C1875"/>
      <c r="D1875"/>
    </row>
    <row r="1876" spans="3:4" x14ac:dyDescent="0.25">
      <c r="C1876"/>
      <c r="D1876"/>
    </row>
    <row r="1877" spans="3:4" x14ac:dyDescent="0.25">
      <c r="C1877"/>
      <c r="D1877"/>
    </row>
    <row r="1878" spans="3:4" x14ac:dyDescent="0.25">
      <c r="C1878"/>
      <c r="D1878"/>
    </row>
    <row r="1879" spans="3:4" x14ac:dyDescent="0.25">
      <c r="C1879"/>
      <c r="D1879"/>
    </row>
    <row r="1880" spans="3:4" x14ac:dyDescent="0.25">
      <c r="C1880"/>
      <c r="D1880"/>
    </row>
    <row r="1881" spans="3:4" x14ac:dyDescent="0.25">
      <c r="C1881"/>
      <c r="D1881"/>
    </row>
    <row r="1882" spans="3:4" x14ac:dyDescent="0.25">
      <c r="C1882"/>
      <c r="D1882"/>
    </row>
    <row r="1883" spans="3:4" x14ac:dyDescent="0.25">
      <c r="C1883"/>
      <c r="D1883"/>
    </row>
    <row r="1884" spans="3:4" x14ac:dyDescent="0.25">
      <c r="C1884"/>
      <c r="D1884"/>
    </row>
    <row r="1885" spans="3:4" x14ac:dyDescent="0.25">
      <c r="C1885"/>
      <c r="D1885"/>
    </row>
    <row r="1886" spans="3:4" x14ac:dyDescent="0.25">
      <c r="C1886"/>
      <c r="D1886"/>
    </row>
    <row r="1887" spans="3:4" x14ac:dyDescent="0.25">
      <c r="C1887"/>
      <c r="D1887"/>
    </row>
    <row r="1888" spans="3:4" x14ac:dyDescent="0.25">
      <c r="C1888"/>
      <c r="D1888"/>
    </row>
    <row r="1889" spans="3:4" x14ac:dyDescent="0.25">
      <c r="C1889"/>
      <c r="D1889"/>
    </row>
    <row r="1890" spans="3:4" x14ac:dyDescent="0.25">
      <c r="C1890"/>
      <c r="D1890"/>
    </row>
    <row r="1891" spans="3:4" x14ac:dyDescent="0.25">
      <c r="C1891"/>
      <c r="D1891"/>
    </row>
    <row r="1892" spans="3:4" x14ac:dyDescent="0.25">
      <c r="C1892"/>
      <c r="D1892"/>
    </row>
    <row r="1893" spans="3:4" x14ac:dyDescent="0.25">
      <c r="C1893"/>
      <c r="D1893"/>
    </row>
    <row r="1894" spans="3:4" x14ac:dyDescent="0.25">
      <c r="C1894"/>
      <c r="D1894"/>
    </row>
    <row r="1895" spans="3:4" x14ac:dyDescent="0.25">
      <c r="C1895"/>
      <c r="D1895"/>
    </row>
    <row r="1896" spans="3:4" x14ac:dyDescent="0.25">
      <c r="C1896"/>
      <c r="D1896"/>
    </row>
    <row r="1897" spans="3:4" x14ac:dyDescent="0.25">
      <c r="C1897"/>
      <c r="D1897"/>
    </row>
    <row r="1898" spans="3:4" x14ac:dyDescent="0.25">
      <c r="C1898"/>
      <c r="D1898"/>
    </row>
    <row r="1899" spans="3:4" x14ac:dyDescent="0.25">
      <c r="C1899"/>
      <c r="D1899"/>
    </row>
    <row r="1900" spans="3:4" x14ac:dyDescent="0.25">
      <c r="C1900"/>
      <c r="D1900"/>
    </row>
    <row r="1901" spans="3:4" x14ac:dyDescent="0.25">
      <c r="C1901"/>
      <c r="D1901"/>
    </row>
    <row r="1902" spans="3:4" x14ac:dyDescent="0.25">
      <c r="C1902"/>
      <c r="D1902"/>
    </row>
    <row r="1903" spans="3:4" x14ac:dyDescent="0.25">
      <c r="C1903"/>
      <c r="D1903"/>
    </row>
    <row r="1904" spans="3:4" x14ac:dyDescent="0.25">
      <c r="C1904"/>
      <c r="D1904"/>
    </row>
    <row r="1905" spans="3:4" x14ac:dyDescent="0.25">
      <c r="C1905"/>
      <c r="D1905"/>
    </row>
    <row r="1906" spans="3:4" x14ac:dyDescent="0.25">
      <c r="C1906"/>
      <c r="D1906"/>
    </row>
    <row r="1907" spans="3:4" x14ac:dyDescent="0.25">
      <c r="C1907"/>
      <c r="D1907"/>
    </row>
    <row r="1908" spans="3:4" x14ac:dyDescent="0.25">
      <c r="C1908"/>
      <c r="D1908"/>
    </row>
    <row r="1909" spans="3:4" x14ac:dyDescent="0.25">
      <c r="C1909"/>
      <c r="D1909"/>
    </row>
    <row r="1910" spans="3:4" x14ac:dyDescent="0.25">
      <c r="C1910"/>
      <c r="D1910"/>
    </row>
    <row r="1911" spans="3:4" x14ac:dyDescent="0.25">
      <c r="C1911"/>
      <c r="D1911"/>
    </row>
    <row r="1912" spans="3:4" x14ac:dyDescent="0.25">
      <c r="C1912"/>
      <c r="D1912"/>
    </row>
    <row r="1913" spans="3:4" x14ac:dyDescent="0.25">
      <c r="C1913"/>
      <c r="D1913"/>
    </row>
    <row r="1914" spans="3:4" x14ac:dyDescent="0.25">
      <c r="C1914"/>
      <c r="D1914"/>
    </row>
    <row r="1915" spans="3:4" x14ac:dyDescent="0.25">
      <c r="C1915"/>
      <c r="D1915"/>
    </row>
    <row r="1916" spans="3:4" x14ac:dyDescent="0.25">
      <c r="C1916"/>
      <c r="D1916"/>
    </row>
    <row r="1917" spans="3:4" x14ac:dyDescent="0.25">
      <c r="C1917"/>
      <c r="D1917"/>
    </row>
    <row r="1918" spans="3:4" x14ac:dyDescent="0.25">
      <c r="C1918"/>
      <c r="D1918"/>
    </row>
    <row r="1919" spans="3:4" x14ac:dyDescent="0.25">
      <c r="C1919"/>
      <c r="D1919"/>
    </row>
    <row r="1920" spans="3:4" x14ac:dyDescent="0.25">
      <c r="C1920"/>
      <c r="D1920"/>
    </row>
    <row r="1921" spans="3:4" x14ac:dyDescent="0.25">
      <c r="C1921"/>
      <c r="D1921"/>
    </row>
    <row r="1922" spans="3:4" x14ac:dyDescent="0.25">
      <c r="C1922"/>
      <c r="D1922"/>
    </row>
    <row r="1923" spans="3:4" x14ac:dyDescent="0.25">
      <c r="C1923"/>
      <c r="D1923"/>
    </row>
    <row r="1924" spans="3:4" x14ac:dyDescent="0.25">
      <c r="C1924"/>
      <c r="D1924"/>
    </row>
    <row r="1925" spans="3:4" x14ac:dyDescent="0.25">
      <c r="C1925"/>
      <c r="D1925"/>
    </row>
    <row r="1926" spans="3:4" x14ac:dyDescent="0.25">
      <c r="C1926"/>
      <c r="D1926"/>
    </row>
    <row r="1927" spans="3:4" x14ac:dyDescent="0.25">
      <c r="C1927"/>
      <c r="D1927"/>
    </row>
    <row r="1928" spans="3:4" x14ac:dyDescent="0.25">
      <c r="C1928"/>
      <c r="D1928"/>
    </row>
    <row r="1929" spans="3:4" x14ac:dyDescent="0.25">
      <c r="C1929"/>
      <c r="D1929"/>
    </row>
    <row r="1930" spans="3:4" x14ac:dyDescent="0.25">
      <c r="C1930"/>
      <c r="D1930"/>
    </row>
    <row r="1931" spans="3:4" x14ac:dyDescent="0.25">
      <c r="C1931"/>
      <c r="D1931"/>
    </row>
    <row r="1932" spans="3:4" x14ac:dyDescent="0.25">
      <c r="C1932"/>
      <c r="D1932"/>
    </row>
    <row r="1933" spans="3:4" x14ac:dyDescent="0.25">
      <c r="C1933"/>
      <c r="D1933"/>
    </row>
    <row r="1934" spans="3:4" x14ac:dyDescent="0.25">
      <c r="C1934"/>
      <c r="D1934"/>
    </row>
    <row r="1935" spans="3:4" x14ac:dyDescent="0.25">
      <c r="C1935"/>
      <c r="D1935"/>
    </row>
    <row r="1936" spans="3:4" x14ac:dyDescent="0.25">
      <c r="C1936"/>
      <c r="D1936"/>
    </row>
    <row r="1937" spans="3:4" x14ac:dyDescent="0.25">
      <c r="C1937"/>
      <c r="D1937"/>
    </row>
    <row r="1938" spans="3:4" x14ac:dyDescent="0.25">
      <c r="C1938"/>
      <c r="D1938"/>
    </row>
    <row r="1939" spans="3:4" x14ac:dyDescent="0.25">
      <c r="C1939"/>
      <c r="D1939"/>
    </row>
    <row r="1940" spans="3:4" x14ac:dyDescent="0.25">
      <c r="C1940"/>
      <c r="D1940"/>
    </row>
    <row r="1941" spans="3:4" x14ac:dyDescent="0.25">
      <c r="C1941"/>
      <c r="D1941"/>
    </row>
    <row r="1942" spans="3:4" x14ac:dyDescent="0.25">
      <c r="C1942"/>
      <c r="D1942"/>
    </row>
    <row r="1943" spans="3:4" x14ac:dyDescent="0.25">
      <c r="C1943"/>
      <c r="D1943"/>
    </row>
    <row r="1944" spans="3:4" x14ac:dyDescent="0.25">
      <c r="C1944"/>
      <c r="D1944"/>
    </row>
    <row r="1945" spans="3:4" x14ac:dyDescent="0.25">
      <c r="C1945"/>
      <c r="D1945"/>
    </row>
    <row r="1946" spans="3:4" x14ac:dyDescent="0.25">
      <c r="C1946"/>
      <c r="D1946"/>
    </row>
    <row r="1947" spans="3:4" x14ac:dyDescent="0.25">
      <c r="C1947"/>
      <c r="D1947"/>
    </row>
    <row r="1948" spans="3:4" x14ac:dyDescent="0.25">
      <c r="C1948"/>
      <c r="D1948"/>
    </row>
    <row r="1949" spans="3:4" x14ac:dyDescent="0.25">
      <c r="C1949"/>
      <c r="D1949"/>
    </row>
    <row r="1950" spans="3:4" x14ac:dyDescent="0.25">
      <c r="C1950"/>
      <c r="D1950"/>
    </row>
    <row r="1951" spans="3:4" x14ac:dyDescent="0.25">
      <c r="C1951"/>
      <c r="D1951"/>
    </row>
    <row r="1952" spans="3:4" x14ac:dyDescent="0.25">
      <c r="C1952"/>
      <c r="D1952"/>
    </row>
    <row r="1953" spans="3:4" x14ac:dyDescent="0.25">
      <c r="C1953"/>
      <c r="D1953"/>
    </row>
    <row r="1954" spans="3:4" x14ac:dyDescent="0.25">
      <c r="C1954"/>
      <c r="D1954"/>
    </row>
    <row r="1955" spans="3:4" x14ac:dyDescent="0.25">
      <c r="C1955"/>
      <c r="D1955"/>
    </row>
    <row r="1956" spans="3:4" x14ac:dyDescent="0.25">
      <c r="C1956"/>
      <c r="D1956"/>
    </row>
    <row r="1957" spans="3:4" x14ac:dyDescent="0.25">
      <c r="C1957"/>
      <c r="D1957"/>
    </row>
    <row r="1958" spans="3:4" x14ac:dyDescent="0.25">
      <c r="C1958"/>
      <c r="D1958"/>
    </row>
    <row r="1959" spans="3:4" x14ac:dyDescent="0.25">
      <c r="C1959"/>
      <c r="D1959"/>
    </row>
    <row r="1960" spans="3:4" x14ac:dyDescent="0.25">
      <c r="C1960"/>
      <c r="D1960"/>
    </row>
    <row r="1961" spans="3:4" x14ac:dyDescent="0.25">
      <c r="C1961"/>
      <c r="D1961"/>
    </row>
    <row r="1962" spans="3:4" x14ac:dyDescent="0.25">
      <c r="C1962"/>
      <c r="D1962"/>
    </row>
    <row r="1963" spans="3:4" x14ac:dyDescent="0.25">
      <c r="C1963"/>
      <c r="D1963"/>
    </row>
    <row r="1964" spans="3:4" x14ac:dyDescent="0.25">
      <c r="C1964"/>
      <c r="D1964"/>
    </row>
    <row r="1965" spans="3:4" x14ac:dyDescent="0.25">
      <c r="C1965"/>
      <c r="D1965"/>
    </row>
    <row r="1966" spans="3:4" x14ac:dyDescent="0.25">
      <c r="C1966"/>
      <c r="D1966"/>
    </row>
    <row r="1967" spans="3:4" x14ac:dyDescent="0.25">
      <c r="C1967"/>
      <c r="D1967"/>
    </row>
    <row r="1968" spans="3:4" x14ac:dyDescent="0.25">
      <c r="C1968"/>
      <c r="D1968"/>
    </row>
    <row r="1969" spans="3:4" x14ac:dyDescent="0.25">
      <c r="C1969"/>
      <c r="D1969"/>
    </row>
    <row r="1970" spans="3:4" x14ac:dyDescent="0.25">
      <c r="C1970"/>
      <c r="D1970"/>
    </row>
    <row r="1971" spans="3:4" x14ac:dyDescent="0.25">
      <c r="C1971"/>
      <c r="D1971"/>
    </row>
    <row r="1972" spans="3:4" x14ac:dyDescent="0.25">
      <c r="C1972"/>
      <c r="D1972"/>
    </row>
    <row r="1973" spans="3:4" x14ac:dyDescent="0.25">
      <c r="C1973"/>
      <c r="D1973"/>
    </row>
    <row r="1974" spans="3:4" x14ac:dyDescent="0.25">
      <c r="C1974"/>
      <c r="D1974"/>
    </row>
    <row r="1975" spans="3:4" x14ac:dyDescent="0.25">
      <c r="C1975"/>
      <c r="D1975"/>
    </row>
    <row r="1976" spans="3:4" x14ac:dyDescent="0.25">
      <c r="C1976"/>
      <c r="D1976"/>
    </row>
    <row r="1977" spans="3:4" x14ac:dyDescent="0.25">
      <c r="C1977"/>
      <c r="D1977"/>
    </row>
    <row r="1978" spans="3:4" x14ac:dyDescent="0.25">
      <c r="C1978"/>
      <c r="D1978"/>
    </row>
    <row r="1979" spans="3:4" x14ac:dyDescent="0.25">
      <c r="C1979"/>
      <c r="D1979"/>
    </row>
    <row r="1980" spans="3:4" x14ac:dyDescent="0.25">
      <c r="C1980"/>
      <c r="D1980"/>
    </row>
    <row r="1981" spans="3:4" x14ac:dyDescent="0.25">
      <c r="C1981"/>
      <c r="D1981"/>
    </row>
    <row r="1982" spans="3:4" x14ac:dyDescent="0.25">
      <c r="C1982"/>
      <c r="D1982"/>
    </row>
    <row r="1983" spans="3:4" x14ac:dyDescent="0.25">
      <c r="C1983"/>
      <c r="D1983"/>
    </row>
    <row r="1984" spans="3:4" x14ac:dyDescent="0.25">
      <c r="C1984"/>
      <c r="D1984"/>
    </row>
    <row r="1985" spans="3:4" x14ac:dyDescent="0.25">
      <c r="C1985"/>
      <c r="D1985"/>
    </row>
    <row r="1986" spans="3:4" x14ac:dyDescent="0.25">
      <c r="C1986"/>
      <c r="D1986"/>
    </row>
    <row r="1987" spans="3:4" x14ac:dyDescent="0.25">
      <c r="C1987"/>
      <c r="D1987"/>
    </row>
    <row r="1988" spans="3:4" x14ac:dyDescent="0.25">
      <c r="C1988"/>
      <c r="D1988"/>
    </row>
    <row r="1989" spans="3:4" x14ac:dyDescent="0.25">
      <c r="C1989"/>
      <c r="D1989"/>
    </row>
    <row r="1990" spans="3:4" x14ac:dyDescent="0.25">
      <c r="C1990"/>
      <c r="D1990"/>
    </row>
    <row r="1991" spans="3:4" x14ac:dyDescent="0.25">
      <c r="C1991"/>
      <c r="D1991"/>
    </row>
    <row r="1992" spans="3:4" x14ac:dyDescent="0.25">
      <c r="C1992"/>
      <c r="D1992"/>
    </row>
    <row r="1993" spans="3:4" x14ac:dyDescent="0.25">
      <c r="C1993"/>
      <c r="D1993"/>
    </row>
    <row r="1994" spans="3:4" x14ac:dyDescent="0.25">
      <c r="C1994"/>
      <c r="D1994"/>
    </row>
    <row r="1995" spans="3:4" x14ac:dyDescent="0.25">
      <c r="C1995"/>
      <c r="D1995"/>
    </row>
    <row r="1996" spans="3:4" x14ac:dyDescent="0.25">
      <c r="C1996"/>
      <c r="D1996"/>
    </row>
    <row r="1997" spans="3:4" x14ac:dyDescent="0.25">
      <c r="C1997"/>
      <c r="D1997"/>
    </row>
    <row r="1998" spans="3:4" x14ac:dyDescent="0.25">
      <c r="C1998"/>
      <c r="D1998"/>
    </row>
    <row r="1999" spans="3:4" x14ac:dyDescent="0.25">
      <c r="C1999"/>
      <c r="D1999"/>
    </row>
    <row r="2000" spans="3:4" x14ac:dyDescent="0.25">
      <c r="C2000"/>
      <c r="D2000"/>
    </row>
    <row r="2001" spans="3:4" x14ac:dyDescent="0.25">
      <c r="C2001"/>
      <c r="D2001"/>
    </row>
    <row r="2002" spans="3:4" x14ac:dyDescent="0.25">
      <c r="C2002"/>
      <c r="D2002"/>
    </row>
    <row r="2003" spans="3:4" x14ac:dyDescent="0.25">
      <c r="C2003"/>
      <c r="D2003"/>
    </row>
    <row r="2004" spans="3:4" x14ac:dyDescent="0.25">
      <c r="C2004"/>
      <c r="D2004"/>
    </row>
    <row r="2005" spans="3:4" x14ac:dyDescent="0.25">
      <c r="C2005"/>
      <c r="D2005"/>
    </row>
    <row r="2006" spans="3:4" x14ac:dyDescent="0.25">
      <c r="C2006"/>
      <c r="D2006"/>
    </row>
    <row r="2007" spans="3:4" x14ac:dyDescent="0.25">
      <c r="C2007"/>
      <c r="D2007"/>
    </row>
    <row r="2008" spans="3:4" x14ac:dyDescent="0.25">
      <c r="C2008"/>
      <c r="D2008"/>
    </row>
    <row r="2009" spans="3:4" x14ac:dyDescent="0.25">
      <c r="C2009"/>
      <c r="D2009"/>
    </row>
    <row r="2010" spans="3:4" x14ac:dyDescent="0.25">
      <c r="C2010"/>
      <c r="D2010"/>
    </row>
    <row r="2011" spans="3:4" x14ac:dyDescent="0.25">
      <c r="C2011"/>
      <c r="D2011"/>
    </row>
    <row r="2012" spans="3:4" x14ac:dyDescent="0.25">
      <c r="C2012"/>
      <c r="D2012"/>
    </row>
    <row r="2013" spans="3:4" x14ac:dyDescent="0.25">
      <c r="C2013"/>
      <c r="D2013"/>
    </row>
    <row r="2014" spans="3:4" x14ac:dyDescent="0.25">
      <c r="C2014"/>
      <c r="D2014"/>
    </row>
    <row r="2015" spans="3:4" x14ac:dyDescent="0.25">
      <c r="C2015"/>
      <c r="D2015"/>
    </row>
    <row r="2016" spans="3:4" x14ac:dyDescent="0.25">
      <c r="C2016"/>
      <c r="D2016"/>
    </row>
    <row r="2017" spans="3:4" x14ac:dyDescent="0.25">
      <c r="C2017"/>
      <c r="D2017"/>
    </row>
    <row r="2018" spans="3:4" x14ac:dyDescent="0.25">
      <c r="C2018"/>
      <c r="D2018"/>
    </row>
    <row r="2019" spans="3:4" x14ac:dyDescent="0.25">
      <c r="C2019"/>
      <c r="D2019"/>
    </row>
    <row r="2020" spans="3:4" x14ac:dyDescent="0.25">
      <c r="C2020"/>
      <c r="D2020"/>
    </row>
    <row r="2021" spans="3:4" x14ac:dyDescent="0.25">
      <c r="C2021"/>
      <c r="D2021"/>
    </row>
    <row r="2022" spans="3:4" x14ac:dyDescent="0.25">
      <c r="C2022"/>
      <c r="D2022"/>
    </row>
    <row r="2023" spans="3:4" x14ac:dyDescent="0.25">
      <c r="C2023"/>
      <c r="D2023"/>
    </row>
    <row r="2024" spans="3:4" x14ac:dyDescent="0.25">
      <c r="C2024"/>
      <c r="D2024"/>
    </row>
    <row r="2025" spans="3:4" x14ac:dyDescent="0.25">
      <c r="C2025"/>
      <c r="D2025"/>
    </row>
    <row r="2026" spans="3:4" x14ac:dyDescent="0.25">
      <c r="C2026"/>
      <c r="D2026"/>
    </row>
    <row r="2027" spans="3:4" x14ac:dyDescent="0.25">
      <c r="C2027"/>
      <c r="D2027"/>
    </row>
    <row r="2028" spans="3:4" x14ac:dyDescent="0.25">
      <c r="C2028"/>
      <c r="D2028"/>
    </row>
    <row r="2029" spans="3:4" x14ac:dyDescent="0.25">
      <c r="C2029"/>
      <c r="D2029"/>
    </row>
    <row r="2030" spans="3:4" x14ac:dyDescent="0.25">
      <c r="C2030"/>
      <c r="D2030"/>
    </row>
    <row r="2031" spans="3:4" x14ac:dyDescent="0.25">
      <c r="C2031"/>
      <c r="D2031"/>
    </row>
    <row r="2032" spans="3:4" x14ac:dyDescent="0.25">
      <c r="C2032"/>
      <c r="D2032"/>
    </row>
    <row r="2033" spans="3:4" x14ac:dyDescent="0.25">
      <c r="C2033"/>
      <c r="D2033"/>
    </row>
    <row r="2034" spans="3:4" x14ac:dyDescent="0.25">
      <c r="C2034"/>
      <c r="D2034"/>
    </row>
    <row r="2035" spans="3:4" x14ac:dyDescent="0.25">
      <c r="C2035"/>
      <c r="D2035"/>
    </row>
    <row r="2036" spans="3:4" x14ac:dyDescent="0.25">
      <c r="C2036"/>
      <c r="D2036"/>
    </row>
    <row r="2037" spans="3:4" x14ac:dyDescent="0.25">
      <c r="C2037"/>
      <c r="D2037"/>
    </row>
    <row r="2038" spans="3:4" x14ac:dyDescent="0.25">
      <c r="C2038"/>
      <c r="D2038"/>
    </row>
    <row r="2039" spans="3:4" x14ac:dyDescent="0.25">
      <c r="C2039"/>
      <c r="D2039"/>
    </row>
    <row r="2040" spans="3:4" x14ac:dyDescent="0.25">
      <c r="C2040"/>
      <c r="D2040"/>
    </row>
    <row r="2041" spans="3:4" x14ac:dyDescent="0.25">
      <c r="C2041"/>
      <c r="D2041"/>
    </row>
    <row r="2042" spans="3:4" x14ac:dyDescent="0.25">
      <c r="C2042"/>
      <c r="D2042"/>
    </row>
    <row r="2043" spans="3:4" x14ac:dyDescent="0.25">
      <c r="C2043"/>
      <c r="D2043"/>
    </row>
    <row r="2044" spans="3:4" x14ac:dyDescent="0.25">
      <c r="C2044"/>
      <c r="D2044"/>
    </row>
    <row r="2045" spans="3:4" x14ac:dyDescent="0.25">
      <c r="C2045"/>
      <c r="D2045"/>
    </row>
    <row r="2046" spans="3:4" x14ac:dyDescent="0.25">
      <c r="C2046"/>
      <c r="D2046"/>
    </row>
    <row r="2047" spans="3:4" x14ac:dyDescent="0.25">
      <c r="C2047"/>
      <c r="D2047"/>
    </row>
    <row r="2048" spans="3:4" x14ac:dyDescent="0.25">
      <c r="C2048"/>
      <c r="D2048"/>
    </row>
    <row r="2049" spans="3:4" x14ac:dyDescent="0.25">
      <c r="C2049"/>
      <c r="D2049"/>
    </row>
    <row r="2050" spans="3:4" x14ac:dyDescent="0.25">
      <c r="C2050"/>
      <c r="D2050"/>
    </row>
    <row r="2051" spans="3:4" x14ac:dyDescent="0.25">
      <c r="C2051"/>
      <c r="D2051"/>
    </row>
    <row r="2052" spans="3:4" x14ac:dyDescent="0.25">
      <c r="C2052"/>
      <c r="D2052"/>
    </row>
    <row r="2053" spans="3:4" x14ac:dyDescent="0.25">
      <c r="C2053"/>
      <c r="D2053"/>
    </row>
    <row r="2054" spans="3:4" x14ac:dyDescent="0.25">
      <c r="C2054"/>
      <c r="D2054"/>
    </row>
    <row r="2055" spans="3:4" x14ac:dyDescent="0.25">
      <c r="C2055"/>
      <c r="D2055"/>
    </row>
    <row r="2056" spans="3:4" x14ac:dyDescent="0.25">
      <c r="C2056"/>
      <c r="D2056"/>
    </row>
    <row r="2057" spans="3:4" x14ac:dyDescent="0.25">
      <c r="C2057"/>
      <c r="D2057"/>
    </row>
    <row r="2058" spans="3:4" x14ac:dyDescent="0.25">
      <c r="C2058"/>
      <c r="D2058"/>
    </row>
    <row r="2059" spans="3:4" x14ac:dyDescent="0.25">
      <c r="C2059"/>
      <c r="D2059"/>
    </row>
    <row r="2060" spans="3:4" x14ac:dyDescent="0.25">
      <c r="C2060"/>
      <c r="D2060"/>
    </row>
    <row r="2061" spans="3:4" x14ac:dyDescent="0.25">
      <c r="C2061"/>
      <c r="D2061"/>
    </row>
    <row r="2062" spans="3:4" x14ac:dyDescent="0.25">
      <c r="C2062"/>
      <c r="D2062"/>
    </row>
    <row r="2063" spans="3:4" x14ac:dyDescent="0.25">
      <c r="C2063"/>
      <c r="D2063"/>
    </row>
    <row r="2064" spans="3:4" x14ac:dyDescent="0.25">
      <c r="C2064"/>
      <c r="D2064"/>
    </row>
    <row r="2065" spans="3:4" x14ac:dyDescent="0.25">
      <c r="C2065"/>
      <c r="D2065"/>
    </row>
    <row r="2066" spans="3:4" x14ac:dyDescent="0.25">
      <c r="C2066"/>
      <c r="D2066"/>
    </row>
    <row r="2067" spans="3:4" x14ac:dyDescent="0.25">
      <c r="C2067"/>
      <c r="D2067"/>
    </row>
    <row r="2068" spans="3:4" x14ac:dyDescent="0.25">
      <c r="C2068"/>
      <c r="D2068"/>
    </row>
    <row r="2069" spans="3:4" x14ac:dyDescent="0.25">
      <c r="C2069"/>
      <c r="D2069"/>
    </row>
    <row r="2070" spans="3:4" x14ac:dyDescent="0.25">
      <c r="C2070"/>
      <c r="D2070"/>
    </row>
    <row r="2071" spans="3:4" x14ac:dyDescent="0.25">
      <c r="C2071"/>
      <c r="D2071"/>
    </row>
    <row r="2072" spans="3:4" x14ac:dyDescent="0.25">
      <c r="C2072"/>
      <c r="D2072"/>
    </row>
    <row r="2073" spans="3:4" x14ac:dyDescent="0.25">
      <c r="C2073"/>
      <c r="D2073"/>
    </row>
    <row r="2074" spans="3:4" x14ac:dyDescent="0.25">
      <c r="C2074"/>
      <c r="D2074"/>
    </row>
    <row r="2075" spans="3:4" x14ac:dyDescent="0.25">
      <c r="C2075"/>
      <c r="D2075"/>
    </row>
    <row r="2076" spans="3:4" x14ac:dyDescent="0.25">
      <c r="C2076"/>
      <c r="D2076"/>
    </row>
    <row r="2077" spans="3:4" x14ac:dyDescent="0.25">
      <c r="C2077"/>
      <c r="D2077"/>
    </row>
    <row r="2078" spans="3:4" x14ac:dyDescent="0.25">
      <c r="C2078"/>
      <c r="D2078"/>
    </row>
    <row r="2079" spans="3:4" x14ac:dyDescent="0.25">
      <c r="C2079"/>
      <c r="D2079"/>
    </row>
    <row r="2080" spans="3:4" x14ac:dyDescent="0.25">
      <c r="C2080"/>
      <c r="D2080"/>
    </row>
    <row r="2081" spans="3:4" x14ac:dyDescent="0.25">
      <c r="C2081"/>
      <c r="D2081"/>
    </row>
    <row r="2082" spans="3:4" x14ac:dyDescent="0.25">
      <c r="C2082"/>
      <c r="D2082"/>
    </row>
    <row r="2083" spans="3:4" x14ac:dyDescent="0.25">
      <c r="C2083"/>
      <c r="D2083"/>
    </row>
    <row r="2084" spans="3:4" x14ac:dyDescent="0.25">
      <c r="C2084"/>
      <c r="D2084"/>
    </row>
    <row r="2085" spans="3:4" x14ac:dyDescent="0.25">
      <c r="C2085"/>
      <c r="D2085"/>
    </row>
    <row r="2086" spans="3:4" x14ac:dyDescent="0.25">
      <c r="C2086"/>
      <c r="D2086"/>
    </row>
    <row r="2087" spans="3:4" x14ac:dyDescent="0.25">
      <c r="C2087"/>
      <c r="D2087"/>
    </row>
    <row r="2088" spans="3:4" x14ac:dyDescent="0.25">
      <c r="C2088"/>
      <c r="D2088"/>
    </row>
    <row r="2089" spans="3:4" x14ac:dyDescent="0.25">
      <c r="C2089"/>
      <c r="D2089"/>
    </row>
    <row r="2090" spans="3:4" x14ac:dyDescent="0.25">
      <c r="C2090"/>
      <c r="D2090"/>
    </row>
    <row r="2091" spans="3:4" x14ac:dyDescent="0.25">
      <c r="C2091"/>
      <c r="D2091"/>
    </row>
    <row r="2092" spans="3:4" x14ac:dyDescent="0.25">
      <c r="C2092"/>
      <c r="D2092"/>
    </row>
    <row r="2093" spans="3:4" x14ac:dyDescent="0.25">
      <c r="C2093"/>
      <c r="D2093"/>
    </row>
    <row r="2094" spans="3:4" x14ac:dyDescent="0.25">
      <c r="C2094"/>
      <c r="D2094"/>
    </row>
    <row r="2095" spans="3:4" x14ac:dyDescent="0.25">
      <c r="C2095"/>
      <c r="D2095"/>
    </row>
    <row r="2096" spans="3:4" x14ac:dyDescent="0.25">
      <c r="C2096"/>
      <c r="D2096"/>
    </row>
    <row r="2097" spans="3:4" x14ac:dyDescent="0.25">
      <c r="C2097"/>
      <c r="D2097"/>
    </row>
    <row r="2098" spans="3:4" x14ac:dyDescent="0.25">
      <c r="C2098"/>
      <c r="D2098"/>
    </row>
    <row r="2099" spans="3:4" x14ac:dyDescent="0.25">
      <c r="C2099"/>
      <c r="D2099"/>
    </row>
    <row r="2100" spans="3:4" x14ac:dyDescent="0.25">
      <c r="C2100"/>
      <c r="D2100"/>
    </row>
    <row r="2101" spans="3:4" x14ac:dyDescent="0.25">
      <c r="C2101"/>
      <c r="D2101"/>
    </row>
    <row r="2102" spans="3:4" x14ac:dyDescent="0.25">
      <c r="C2102"/>
      <c r="D2102"/>
    </row>
    <row r="2103" spans="3:4" x14ac:dyDescent="0.25">
      <c r="C2103"/>
      <c r="D2103"/>
    </row>
    <row r="2104" spans="3:4" x14ac:dyDescent="0.25">
      <c r="C2104"/>
      <c r="D2104"/>
    </row>
    <row r="2105" spans="3:4" x14ac:dyDescent="0.25">
      <c r="C2105"/>
      <c r="D2105"/>
    </row>
    <row r="2106" spans="3:4" x14ac:dyDescent="0.25">
      <c r="C2106"/>
      <c r="D2106"/>
    </row>
    <row r="2107" spans="3:4" x14ac:dyDescent="0.25">
      <c r="C2107"/>
      <c r="D2107"/>
    </row>
    <row r="2108" spans="3:4" x14ac:dyDescent="0.25">
      <c r="C2108"/>
      <c r="D2108"/>
    </row>
    <row r="2109" spans="3:4" x14ac:dyDescent="0.25">
      <c r="C2109"/>
      <c r="D2109"/>
    </row>
    <row r="2110" spans="3:4" x14ac:dyDescent="0.25">
      <c r="C2110"/>
      <c r="D2110"/>
    </row>
    <row r="2111" spans="3:4" x14ac:dyDescent="0.25">
      <c r="C2111"/>
      <c r="D2111"/>
    </row>
    <row r="2112" spans="3:4" x14ac:dyDescent="0.25">
      <c r="C2112"/>
      <c r="D2112"/>
    </row>
    <row r="2113" spans="3:4" x14ac:dyDescent="0.25">
      <c r="C2113"/>
      <c r="D2113"/>
    </row>
    <row r="2114" spans="3:4" x14ac:dyDescent="0.25">
      <c r="C2114"/>
      <c r="D2114"/>
    </row>
    <row r="2115" spans="3:4" x14ac:dyDescent="0.25">
      <c r="C2115"/>
      <c r="D2115"/>
    </row>
    <row r="2116" spans="3:4" x14ac:dyDescent="0.25">
      <c r="C2116"/>
      <c r="D2116"/>
    </row>
    <row r="2117" spans="3:4" x14ac:dyDescent="0.25">
      <c r="C2117"/>
      <c r="D2117"/>
    </row>
    <row r="2118" spans="3:4" x14ac:dyDescent="0.25">
      <c r="C2118"/>
      <c r="D2118"/>
    </row>
    <row r="2119" spans="3:4" x14ac:dyDescent="0.25">
      <c r="C2119"/>
      <c r="D2119"/>
    </row>
    <row r="2120" spans="3:4" x14ac:dyDescent="0.25">
      <c r="C2120"/>
      <c r="D2120"/>
    </row>
    <row r="2121" spans="3:4" x14ac:dyDescent="0.25">
      <c r="C2121"/>
      <c r="D2121"/>
    </row>
    <row r="2122" spans="3:4" x14ac:dyDescent="0.25">
      <c r="C2122"/>
      <c r="D2122"/>
    </row>
    <row r="2123" spans="3:4" x14ac:dyDescent="0.25">
      <c r="C2123"/>
      <c r="D2123"/>
    </row>
    <row r="2124" spans="3:4" x14ac:dyDescent="0.25">
      <c r="C2124"/>
      <c r="D2124"/>
    </row>
    <row r="2125" spans="3:4" x14ac:dyDescent="0.25">
      <c r="C2125"/>
      <c r="D2125"/>
    </row>
    <row r="2126" spans="3:4" x14ac:dyDescent="0.25">
      <c r="C2126"/>
      <c r="D2126"/>
    </row>
    <row r="2127" spans="3:4" x14ac:dyDescent="0.25">
      <c r="C2127"/>
      <c r="D2127"/>
    </row>
    <row r="2128" spans="3:4" x14ac:dyDescent="0.25">
      <c r="C2128"/>
      <c r="D2128"/>
    </row>
    <row r="2129" spans="3:4" x14ac:dyDescent="0.25">
      <c r="C2129"/>
      <c r="D2129"/>
    </row>
    <row r="2130" spans="3:4" x14ac:dyDescent="0.25">
      <c r="C2130"/>
      <c r="D2130"/>
    </row>
    <row r="2131" spans="3:4" x14ac:dyDescent="0.25">
      <c r="C2131"/>
      <c r="D2131"/>
    </row>
    <row r="2132" spans="3:4" x14ac:dyDescent="0.25">
      <c r="C2132"/>
      <c r="D2132"/>
    </row>
    <row r="2133" spans="3:4" x14ac:dyDescent="0.25">
      <c r="C2133"/>
      <c r="D2133"/>
    </row>
    <row r="2134" spans="3:4" x14ac:dyDescent="0.25">
      <c r="C2134"/>
      <c r="D2134"/>
    </row>
    <row r="2135" spans="3:4" x14ac:dyDescent="0.25">
      <c r="C2135"/>
      <c r="D2135"/>
    </row>
    <row r="2136" spans="3:4" x14ac:dyDescent="0.25">
      <c r="C2136"/>
      <c r="D2136"/>
    </row>
    <row r="2137" spans="3:4" x14ac:dyDescent="0.25">
      <c r="C2137"/>
      <c r="D2137"/>
    </row>
    <row r="2138" spans="3:4" x14ac:dyDescent="0.25">
      <c r="C2138"/>
      <c r="D2138"/>
    </row>
    <row r="2139" spans="3:4" x14ac:dyDescent="0.25">
      <c r="C2139"/>
      <c r="D2139"/>
    </row>
    <row r="2140" spans="3:4" x14ac:dyDescent="0.25">
      <c r="C2140"/>
      <c r="D2140"/>
    </row>
    <row r="2141" spans="3:4" x14ac:dyDescent="0.25">
      <c r="C2141"/>
      <c r="D2141"/>
    </row>
    <row r="2142" spans="3:4" x14ac:dyDescent="0.25">
      <c r="C2142"/>
      <c r="D2142"/>
    </row>
    <row r="2143" spans="3:4" x14ac:dyDescent="0.25">
      <c r="C2143"/>
      <c r="D2143"/>
    </row>
    <row r="2144" spans="3:4" x14ac:dyDescent="0.25">
      <c r="C2144"/>
      <c r="D2144"/>
    </row>
    <row r="2145" spans="3:4" x14ac:dyDescent="0.25">
      <c r="C2145"/>
      <c r="D2145"/>
    </row>
    <row r="2146" spans="3:4" x14ac:dyDescent="0.25">
      <c r="C2146"/>
      <c r="D2146"/>
    </row>
    <row r="2147" spans="3:4" x14ac:dyDescent="0.25">
      <c r="C2147"/>
      <c r="D2147"/>
    </row>
    <row r="2148" spans="3:4" x14ac:dyDescent="0.25">
      <c r="C2148"/>
      <c r="D2148"/>
    </row>
    <row r="2149" spans="3:4" x14ac:dyDescent="0.25">
      <c r="C2149"/>
      <c r="D2149"/>
    </row>
    <row r="2150" spans="3:4" x14ac:dyDescent="0.25">
      <c r="C2150"/>
      <c r="D2150"/>
    </row>
    <row r="2151" spans="3:4" x14ac:dyDescent="0.25">
      <c r="C2151"/>
      <c r="D2151"/>
    </row>
    <row r="2152" spans="3:4" x14ac:dyDescent="0.25">
      <c r="C2152"/>
      <c r="D2152"/>
    </row>
    <row r="2153" spans="3:4" x14ac:dyDescent="0.25">
      <c r="C2153"/>
      <c r="D2153"/>
    </row>
    <row r="2154" spans="3:4" x14ac:dyDescent="0.25">
      <c r="C2154"/>
      <c r="D2154"/>
    </row>
    <row r="2155" spans="3:4" x14ac:dyDescent="0.25">
      <c r="C2155"/>
      <c r="D2155"/>
    </row>
    <row r="2156" spans="3:4" x14ac:dyDescent="0.25">
      <c r="C2156"/>
      <c r="D2156"/>
    </row>
    <row r="2157" spans="3:4" x14ac:dyDescent="0.25">
      <c r="C2157"/>
      <c r="D2157"/>
    </row>
    <row r="2158" spans="3:4" x14ac:dyDescent="0.25">
      <c r="C2158"/>
      <c r="D2158"/>
    </row>
    <row r="2159" spans="3:4" x14ac:dyDescent="0.25">
      <c r="C2159"/>
      <c r="D2159"/>
    </row>
    <row r="2160" spans="3:4" x14ac:dyDescent="0.25">
      <c r="C2160"/>
      <c r="D2160"/>
    </row>
    <row r="2161" spans="3:4" x14ac:dyDescent="0.25">
      <c r="C2161"/>
      <c r="D2161"/>
    </row>
    <row r="2162" spans="3:4" x14ac:dyDescent="0.25">
      <c r="C2162"/>
      <c r="D2162"/>
    </row>
    <row r="2163" spans="3:4" x14ac:dyDescent="0.25">
      <c r="C2163"/>
      <c r="D2163"/>
    </row>
    <row r="2164" spans="3:4" x14ac:dyDescent="0.25">
      <c r="C2164"/>
      <c r="D2164"/>
    </row>
    <row r="2165" spans="3:4" x14ac:dyDescent="0.25">
      <c r="C2165"/>
      <c r="D2165"/>
    </row>
    <row r="2166" spans="3:4" x14ac:dyDescent="0.25">
      <c r="C2166"/>
      <c r="D2166"/>
    </row>
    <row r="2167" spans="3:4" x14ac:dyDescent="0.25">
      <c r="C2167"/>
      <c r="D2167"/>
    </row>
    <row r="2168" spans="3:4" x14ac:dyDescent="0.25">
      <c r="C2168"/>
      <c r="D2168"/>
    </row>
    <row r="2169" spans="3:4" x14ac:dyDescent="0.25">
      <c r="C2169"/>
      <c r="D2169"/>
    </row>
    <row r="2170" spans="3:4" x14ac:dyDescent="0.25">
      <c r="C2170"/>
      <c r="D2170"/>
    </row>
    <row r="2171" spans="3:4" x14ac:dyDescent="0.25">
      <c r="C2171"/>
      <c r="D2171"/>
    </row>
    <row r="2172" spans="3:4" x14ac:dyDescent="0.25">
      <c r="C2172"/>
      <c r="D2172"/>
    </row>
    <row r="2173" spans="3:4" x14ac:dyDescent="0.25">
      <c r="C2173"/>
      <c r="D2173"/>
    </row>
    <row r="2174" spans="3:4" x14ac:dyDescent="0.25">
      <c r="C2174"/>
      <c r="D2174"/>
    </row>
    <row r="2175" spans="3:4" x14ac:dyDescent="0.25">
      <c r="C2175"/>
      <c r="D2175"/>
    </row>
    <row r="2176" spans="3:4" x14ac:dyDescent="0.25">
      <c r="C2176"/>
      <c r="D2176"/>
    </row>
    <row r="2177" spans="3:4" x14ac:dyDescent="0.25">
      <c r="C2177"/>
      <c r="D2177"/>
    </row>
    <row r="2178" spans="3:4" x14ac:dyDescent="0.25">
      <c r="C2178"/>
      <c r="D2178"/>
    </row>
    <row r="2179" spans="3:4" x14ac:dyDescent="0.25">
      <c r="C2179"/>
      <c r="D2179"/>
    </row>
    <row r="2180" spans="3:4" x14ac:dyDescent="0.25">
      <c r="C2180"/>
      <c r="D2180"/>
    </row>
    <row r="2181" spans="3:4" x14ac:dyDescent="0.25">
      <c r="C2181"/>
      <c r="D2181"/>
    </row>
    <row r="2182" spans="3:4" x14ac:dyDescent="0.25">
      <c r="C2182"/>
      <c r="D2182"/>
    </row>
    <row r="2183" spans="3:4" x14ac:dyDescent="0.25">
      <c r="C2183"/>
      <c r="D2183"/>
    </row>
    <row r="2184" spans="3:4" x14ac:dyDescent="0.25">
      <c r="C2184"/>
      <c r="D2184"/>
    </row>
    <row r="2185" spans="3:4" x14ac:dyDescent="0.25">
      <c r="C2185"/>
      <c r="D2185"/>
    </row>
    <row r="2186" spans="3:4" x14ac:dyDescent="0.25">
      <c r="C2186"/>
      <c r="D2186"/>
    </row>
    <row r="2187" spans="3:4" x14ac:dyDescent="0.25">
      <c r="C2187"/>
      <c r="D2187"/>
    </row>
    <row r="2188" spans="3:4" x14ac:dyDescent="0.25">
      <c r="C2188"/>
      <c r="D2188"/>
    </row>
    <row r="2189" spans="3:4" x14ac:dyDescent="0.25">
      <c r="C2189"/>
      <c r="D2189"/>
    </row>
    <row r="2190" spans="3:4" x14ac:dyDescent="0.25">
      <c r="C2190"/>
      <c r="D2190"/>
    </row>
    <row r="2191" spans="3:4" x14ac:dyDescent="0.25">
      <c r="C2191"/>
      <c r="D2191"/>
    </row>
    <row r="2192" spans="3:4" x14ac:dyDescent="0.25">
      <c r="C2192"/>
      <c r="D2192"/>
    </row>
    <row r="2193" spans="3:4" x14ac:dyDescent="0.25">
      <c r="C2193"/>
      <c r="D2193"/>
    </row>
    <row r="2194" spans="3:4" x14ac:dyDescent="0.25">
      <c r="C2194"/>
      <c r="D2194"/>
    </row>
    <row r="2195" spans="3:4" x14ac:dyDescent="0.25">
      <c r="C2195"/>
      <c r="D2195"/>
    </row>
    <row r="2196" spans="3:4" x14ac:dyDescent="0.25">
      <c r="C2196"/>
      <c r="D2196"/>
    </row>
    <row r="2197" spans="3:4" x14ac:dyDescent="0.25">
      <c r="C2197"/>
      <c r="D2197"/>
    </row>
    <row r="2198" spans="3:4" x14ac:dyDescent="0.25">
      <c r="C2198"/>
      <c r="D2198"/>
    </row>
    <row r="2199" spans="3:4" x14ac:dyDescent="0.25">
      <c r="C2199"/>
      <c r="D2199"/>
    </row>
    <row r="2200" spans="3:4" x14ac:dyDescent="0.25">
      <c r="C2200"/>
      <c r="D2200"/>
    </row>
    <row r="2201" spans="3:4" x14ac:dyDescent="0.25">
      <c r="C2201"/>
      <c r="D2201"/>
    </row>
    <row r="2202" spans="3:4" x14ac:dyDescent="0.25">
      <c r="C2202"/>
      <c r="D2202"/>
    </row>
    <row r="2203" spans="3:4" x14ac:dyDescent="0.25">
      <c r="C2203"/>
      <c r="D2203"/>
    </row>
    <row r="2204" spans="3:4" x14ac:dyDescent="0.25">
      <c r="C2204"/>
      <c r="D2204"/>
    </row>
    <row r="2205" spans="3:4" x14ac:dyDescent="0.25">
      <c r="C2205"/>
      <c r="D2205"/>
    </row>
    <row r="2206" spans="3:4" x14ac:dyDescent="0.25">
      <c r="C2206"/>
      <c r="D2206"/>
    </row>
    <row r="2207" spans="3:4" x14ac:dyDescent="0.25">
      <c r="C2207"/>
      <c r="D2207"/>
    </row>
    <row r="2208" spans="3:4" x14ac:dyDescent="0.25">
      <c r="C2208"/>
      <c r="D2208"/>
    </row>
    <row r="2209" spans="3:4" x14ac:dyDescent="0.25">
      <c r="C2209"/>
      <c r="D2209"/>
    </row>
    <row r="2210" spans="3:4" x14ac:dyDescent="0.25">
      <c r="C2210"/>
      <c r="D2210"/>
    </row>
    <row r="2211" spans="3:4" x14ac:dyDescent="0.25">
      <c r="C2211"/>
      <c r="D2211"/>
    </row>
    <row r="2212" spans="3:4" x14ac:dyDescent="0.25">
      <c r="C2212"/>
      <c r="D2212"/>
    </row>
    <row r="2213" spans="3:4" x14ac:dyDescent="0.25">
      <c r="C2213"/>
      <c r="D2213"/>
    </row>
    <row r="2214" spans="3:4" x14ac:dyDescent="0.25">
      <c r="C2214"/>
      <c r="D2214"/>
    </row>
    <row r="2215" spans="3:4" x14ac:dyDescent="0.25">
      <c r="C2215"/>
      <c r="D2215"/>
    </row>
    <row r="2216" spans="3:4" x14ac:dyDescent="0.25">
      <c r="C2216"/>
      <c r="D2216"/>
    </row>
    <row r="2217" spans="3:4" x14ac:dyDescent="0.25">
      <c r="C2217"/>
      <c r="D2217"/>
    </row>
    <row r="2218" spans="3:4" x14ac:dyDescent="0.25">
      <c r="C2218"/>
      <c r="D2218"/>
    </row>
    <row r="2219" spans="3:4" x14ac:dyDescent="0.25">
      <c r="C2219"/>
      <c r="D2219"/>
    </row>
    <row r="2220" spans="3:4" x14ac:dyDescent="0.25">
      <c r="C2220"/>
      <c r="D2220"/>
    </row>
    <row r="2221" spans="3:4" x14ac:dyDescent="0.25">
      <c r="C2221"/>
      <c r="D2221"/>
    </row>
    <row r="2222" spans="3:4" x14ac:dyDescent="0.25">
      <c r="C2222"/>
      <c r="D2222"/>
    </row>
    <row r="2223" spans="3:4" x14ac:dyDescent="0.25">
      <c r="C2223"/>
      <c r="D2223"/>
    </row>
    <row r="2224" spans="3:4" x14ac:dyDescent="0.25">
      <c r="C2224"/>
      <c r="D2224"/>
    </row>
    <row r="2225" spans="3:4" x14ac:dyDescent="0.25">
      <c r="C2225"/>
      <c r="D2225"/>
    </row>
    <row r="2226" spans="3:4" x14ac:dyDescent="0.25">
      <c r="C2226"/>
      <c r="D2226"/>
    </row>
    <row r="2227" spans="3:4" x14ac:dyDescent="0.25">
      <c r="C2227"/>
      <c r="D2227"/>
    </row>
    <row r="2228" spans="3:4" x14ac:dyDescent="0.25">
      <c r="C2228"/>
      <c r="D2228"/>
    </row>
    <row r="2229" spans="3:4" x14ac:dyDescent="0.25">
      <c r="C2229"/>
      <c r="D2229"/>
    </row>
    <row r="2230" spans="3:4" x14ac:dyDescent="0.25">
      <c r="C2230"/>
      <c r="D2230"/>
    </row>
    <row r="2231" spans="3:4" x14ac:dyDescent="0.25">
      <c r="C2231"/>
      <c r="D2231"/>
    </row>
    <row r="2232" spans="3:4" x14ac:dyDescent="0.25">
      <c r="C2232"/>
      <c r="D2232"/>
    </row>
    <row r="2233" spans="3:4" x14ac:dyDescent="0.25">
      <c r="C2233"/>
      <c r="D2233"/>
    </row>
    <row r="2234" spans="3:4" x14ac:dyDescent="0.25">
      <c r="C2234"/>
      <c r="D2234"/>
    </row>
    <row r="2235" spans="3:4" x14ac:dyDescent="0.25">
      <c r="C2235"/>
      <c r="D2235"/>
    </row>
    <row r="2236" spans="3:4" x14ac:dyDescent="0.25">
      <c r="C2236"/>
      <c r="D2236"/>
    </row>
    <row r="2237" spans="3:4" x14ac:dyDescent="0.25">
      <c r="C2237"/>
      <c r="D2237"/>
    </row>
    <row r="2238" spans="3:4" x14ac:dyDescent="0.25">
      <c r="C2238"/>
      <c r="D2238"/>
    </row>
    <row r="2239" spans="3:4" x14ac:dyDescent="0.25">
      <c r="C2239"/>
      <c r="D2239"/>
    </row>
    <row r="2240" spans="3:4" x14ac:dyDescent="0.25">
      <c r="C2240"/>
      <c r="D2240"/>
    </row>
    <row r="2241" spans="3:4" x14ac:dyDescent="0.25">
      <c r="C2241"/>
      <c r="D2241"/>
    </row>
    <row r="2242" spans="3:4" x14ac:dyDescent="0.25">
      <c r="C2242"/>
      <c r="D2242"/>
    </row>
    <row r="2243" spans="3:4" x14ac:dyDescent="0.25">
      <c r="C2243"/>
      <c r="D2243"/>
    </row>
    <row r="2244" spans="3:4" x14ac:dyDescent="0.25">
      <c r="C2244"/>
      <c r="D2244"/>
    </row>
    <row r="2245" spans="3:4" x14ac:dyDescent="0.25">
      <c r="C2245"/>
      <c r="D2245"/>
    </row>
    <row r="2246" spans="3:4" x14ac:dyDescent="0.25">
      <c r="C2246"/>
      <c r="D2246"/>
    </row>
    <row r="2247" spans="3:4" x14ac:dyDescent="0.25">
      <c r="C2247"/>
      <c r="D2247"/>
    </row>
    <row r="2248" spans="3:4" x14ac:dyDescent="0.25">
      <c r="C2248"/>
      <c r="D2248"/>
    </row>
    <row r="2249" spans="3:4" x14ac:dyDescent="0.25">
      <c r="C2249"/>
      <c r="D2249"/>
    </row>
    <row r="2250" spans="3:4" x14ac:dyDescent="0.25">
      <c r="C2250"/>
      <c r="D2250"/>
    </row>
    <row r="2251" spans="3:4" x14ac:dyDescent="0.25">
      <c r="C2251"/>
      <c r="D2251"/>
    </row>
    <row r="2252" spans="3:4" x14ac:dyDescent="0.25">
      <c r="C2252"/>
      <c r="D2252"/>
    </row>
    <row r="2253" spans="3:4" x14ac:dyDescent="0.25">
      <c r="C2253"/>
      <c r="D2253"/>
    </row>
    <row r="2254" spans="3:4" x14ac:dyDescent="0.25">
      <c r="C2254"/>
      <c r="D2254"/>
    </row>
    <row r="2255" spans="3:4" x14ac:dyDescent="0.25">
      <c r="C2255"/>
      <c r="D2255"/>
    </row>
    <row r="2256" spans="3:4" x14ac:dyDescent="0.25">
      <c r="C2256"/>
      <c r="D2256"/>
    </row>
    <row r="2257" spans="3:4" x14ac:dyDescent="0.25">
      <c r="C2257"/>
      <c r="D2257"/>
    </row>
    <row r="2258" spans="3:4" x14ac:dyDescent="0.25">
      <c r="C2258"/>
      <c r="D2258"/>
    </row>
    <row r="2259" spans="3:4" x14ac:dyDescent="0.25">
      <c r="C2259"/>
      <c r="D2259"/>
    </row>
    <row r="2260" spans="3:4" x14ac:dyDescent="0.25">
      <c r="C2260"/>
      <c r="D2260"/>
    </row>
    <row r="2261" spans="3:4" x14ac:dyDescent="0.25">
      <c r="C2261"/>
      <c r="D2261"/>
    </row>
    <row r="2262" spans="3:4" x14ac:dyDescent="0.25">
      <c r="C2262"/>
      <c r="D2262"/>
    </row>
    <row r="2263" spans="3:4" x14ac:dyDescent="0.25">
      <c r="C2263"/>
      <c r="D2263"/>
    </row>
    <row r="2264" spans="3:4" x14ac:dyDescent="0.25">
      <c r="C2264"/>
      <c r="D2264"/>
    </row>
    <row r="2265" spans="3:4" x14ac:dyDescent="0.25">
      <c r="C2265"/>
      <c r="D2265"/>
    </row>
    <row r="2266" spans="3:4" x14ac:dyDescent="0.25">
      <c r="C2266"/>
      <c r="D2266"/>
    </row>
    <row r="2267" spans="3:4" x14ac:dyDescent="0.25">
      <c r="C2267"/>
      <c r="D2267"/>
    </row>
    <row r="2268" spans="3:4" x14ac:dyDescent="0.25">
      <c r="C2268"/>
      <c r="D2268"/>
    </row>
    <row r="2269" spans="3:4" x14ac:dyDescent="0.25">
      <c r="C2269"/>
      <c r="D2269"/>
    </row>
    <row r="2270" spans="3:4" x14ac:dyDescent="0.25">
      <c r="C2270"/>
      <c r="D2270"/>
    </row>
    <row r="2271" spans="3:4" x14ac:dyDescent="0.25">
      <c r="C2271"/>
      <c r="D2271"/>
    </row>
    <row r="2272" spans="3:4" x14ac:dyDescent="0.25">
      <c r="C2272"/>
      <c r="D2272"/>
    </row>
    <row r="2273" spans="3:4" x14ac:dyDescent="0.25">
      <c r="C2273"/>
      <c r="D2273"/>
    </row>
    <row r="2274" spans="3:4" x14ac:dyDescent="0.25">
      <c r="C2274"/>
      <c r="D2274"/>
    </row>
    <row r="2275" spans="3:4" x14ac:dyDescent="0.25">
      <c r="C2275"/>
      <c r="D2275"/>
    </row>
    <row r="2276" spans="3:4" x14ac:dyDescent="0.25">
      <c r="C2276"/>
      <c r="D2276"/>
    </row>
    <row r="2277" spans="3:4" x14ac:dyDescent="0.25">
      <c r="C2277"/>
      <c r="D2277"/>
    </row>
    <row r="2278" spans="3:4" x14ac:dyDescent="0.25">
      <c r="C2278"/>
      <c r="D2278"/>
    </row>
    <row r="2279" spans="3:4" x14ac:dyDescent="0.25">
      <c r="C2279"/>
      <c r="D2279"/>
    </row>
    <row r="2280" spans="3:4" x14ac:dyDescent="0.25">
      <c r="C2280"/>
      <c r="D2280"/>
    </row>
    <row r="2281" spans="3:4" x14ac:dyDescent="0.25">
      <c r="C2281"/>
      <c r="D2281"/>
    </row>
    <row r="2282" spans="3:4" x14ac:dyDescent="0.25">
      <c r="C2282"/>
      <c r="D2282"/>
    </row>
    <row r="2283" spans="3:4" x14ac:dyDescent="0.25">
      <c r="C2283"/>
      <c r="D2283"/>
    </row>
    <row r="2284" spans="3:4" x14ac:dyDescent="0.25">
      <c r="C2284"/>
      <c r="D2284"/>
    </row>
    <row r="2285" spans="3:4" x14ac:dyDescent="0.25">
      <c r="C2285"/>
      <c r="D2285"/>
    </row>
    <row r="2286" spans="3:4" x14ac:dyDescent="0.25">
      <c r="C2286"/>
      <c r="D2286"/>
    </row>
    <row r="2287" spans="3:4" x14ac:dyDescent="0.25">
      <c r="C2287"/>
      <c r="D2287"/>
    </row>
    <row r="2288" spans="3:4" x14ac:dyDescent="0.25">
      <c r="C2288"/>
      <c r="D2288"/>
    </row>
    <row r="2289" spans="3:4" x14ac:dyDescent="0.25">
      <c r="C2289"/>
      <c r="D2289"/>
    </row>
    <row r="2290" spans="3:4" x14ac:dyDescent="0.25">
      <c r="C2290"/>
      <c r="D2290"/>
    </row>
    <row r="2291" spans="3:4" x14ac:dyDescent="0.25">
      <c r="C2291"/>
      <c r="D2291"/>
    </row>
    <row r="2292" spans="3:4" x14ac:dyDescent="0.25">
      <c r="C2292"/>
      <c r="D2292"/>
    </row>
    <row r="2293" spans="3:4" x14ac:dyDescent="0.25">
      <c r="C2293"/>
      <c r="D2293"/>
    </row>
    <row r="2294" spans="3:4" x14ac:dyDescent="0.25">
      <c r="C2294"/>
      <c r="D2294"/>
    </row>
    <row r="2295" spans="3:4" x14ac:dyDescent="0.25">
      <c r="C2295"/>
      <c r="D2295"/>
    </row>
    <row r="2296" spans="3:4" x14ac:dyDescent="0.25">
      <c r="C2296"/>
      <c r="D2296"/>
    </row>
    <row r="2297" spans="3:4" x14ac:dyDescent="0.25">
      <c r="C2297"/>
      <c r="D2297"/>
    </row>
    <row r="2298" spans="3:4" x14ac:dyDescent="0.25">
      <c r="C2298"/>
      <c r="D2298"/>
    </row>
    <row r="2299" spans="3:4" x14ac:dyDescent="0.25">
      <c r="C2299"/>
      <c r="D2299"/>
    </row>
    <row r="2300" spans="3:4" x14ac:dyDescent="0.25">
      <c r="C2300"/>
      <c r="D2300"/>
    </row>
    <row r="2301" spans="3:4" x14ac:dyDescent="0.25">
      <c r="C2301"/>
      <c r="D2301"/>
    </row>
    <row r="2302" spans="3:4" x14ac:dyDescent="0.25">
      <c r="C2302"/>
      <c r="D2302"/>
    </row>
    <row r="2303" spans="3:4" x14ac:dyDescent="0.25">
      <c r="C2303"/>
      <c r="D2303"/>
    </row>
    <row r="2304" spans="3:4" x14ac:dyDescent="0.25">
      <c r="C2304"/>
      <c r="D2304"/>
    </row>
    <row r="2305" spans="3:4" x14ac:dyDescent="0.25">
      <c r="C2305"/>
      <c r="D2305"/>
    </row>
    <row r="2306" spans="3:4" x14ac:dyDescent="0.25">
      <c r="C2306"/>
      <c r="D2306"/>
    </row>
    <row r="2307" spans="3:4" x14ac:dyDescent="0.25">
      <c r="C2307"/>
      <c r="D2307"/>
    </row>
    <row r="2308" spans="3:4" x14ac:dyDescent="0.25">
      <c r="C2308"/>
      <c r="D2308"/>
    </row>
    <row r="2309" spans="3:4" x14ac:dyDescent="0.25">
      <c r="C2309"/>
      <c r="D2309"/>
    </row>
    <row r="2310" spans="3:4" x14ac:dyDescent="0.25">
      <c r="C2310"/>
      <c r="D2310"/>
    </row>
    <row r="2311" spans="3:4" x14ac:dyDescent="0.25">
      <c r="C2311"/>
      <c r="D2311"/>
    </row>
    <row r="2312" spans="3:4" x14ac:dyDescent="0.25">
      <c r="C2312"/>
      <c r="D2312"/>
    </row>
    <row r="2313" spans="3:4" x14ac:dyDescent="0.25">
      <c r="C2313"/>
      <c r="D2313"/>
    </row>
    <row r="2314" spans="3:4" x14ac:dyDescent="0.25">
      <c r="C2314"/>
      <c r="D2314"/>
    </row>
    <row r="2315" spans="3:4" x14ac:dyDescent="0.25">
      <c r="C2315"/>
      <c r="D2315"/>
    </row>
    <row r="2316" spans="3:4" x14ac:dyDescent="0.25">
      <c r="C2316"/>
      <c r="D2316"/>
    </row>
    <row r="2317" spans="3:4" x14ac:dyDescent="0.25">
      <c r="C2317"/>
      <c r="D2317"/>
    </row>
    <row r="2318" spans="3:4" x14ac:dyDescent="0.25">
      <c r="C2318"/>
      <c r="D2318"/>
    </row>
    <row r="2319" spans="3:4" x14ac:dyDescent="0.25">
      <c r="C2319"/>
      <c r="D2319"/>
    </row>
    <row r="2320" spans="3:4" x14ac:dyDescent="0.25">
      <c r="C2320"/>
      <c r="D2320"/>
    </row>
    <row r="2321" spans="3:4" x14ac:dyDescent="0.25">
      <c r="C2321"/>
      <c r="D2321"/>
    </row>
    <row r="2322" spans="3:4" x14ac:dyDescent="0.25">
      <c r="C2322"/>
      <c r="D2322"/>
    </row>
    <row r="2323" spans="3:4" x14ac:dyDescent="0.25">
      <c r="C2323"/>
      <c r="D2323"/>
    </row>
    <row r="2324" spans="3:4" x14ac:dyDescent="0.25">
      <c r="C2324"/>
      <c r="D2324"/>
    </row>
    <row r="2325" spans="3:4" x14ac:dyDescent="0.25">
      <c r="C2325"/>
      <c r="D2325"/>
    </row>
    <row r="2326" spans="3:4" x14ac:dyDescent="0.25">
      <c r="C2326"/>
      <c r="D2326"/>
    </row>
    <row r="2327" spans="3:4" x14ac:dyDescent="0.25">
      <c r="C2327"/>
      <c r="D2327"/>
    </row>
    <row r="2328" spans="3:4" x14ac:dyDescent="0.25">
      <c r="C2328"/>
      <c r="D2328"/>
    </row>
    <row r="2329" spans="3:4" x14ac:dyDescent="0.25">
      <c r="C2329"/>
      <c r="D2329"/>
    </row>
    <row r="2330" spans="3:4" x14ac:dyDescent="0.25">
      <c r="C2330"/>
      <c r="D2330"/>
    </row>
    <row r="2331" spans="3:4" x14ac:dyDescent="0.25">
      <c r="C2331"/>
      <c r="D2331"/>
    </row>
    <row r="2332" spans="3:4" x14ac:dyDescent="0.25">
      <c r="C2332"/>
      <c r="D2332"/>
    </row>
    <row r="2333" spans="3:4" x14ac:dyDescent="0.25">
      <c r="C2333"/>
      <c r="D2333"/>
    </row>
    <row r="2334" spans="3:4" x14ac:dyDescent="0.25">
      <c r="C2334"/>
      <c r="D2334"/>
    </row>
    <row r="2335" spans="3:4" x14ac:dyDescent="0.25">
      <c r="C2335"/>
      <c r="D2335"/>
    </row>
    <row r="2336" spans="3:4" x14ac:dyDescent="0.25">
      <c r="C2336"/>
      <c r="D2336"/>
    </row>
    <row r="2337" spans="3:4" x14ac:dyDescent="0.25">
      <c r="C2337"/>
      <c r="D2337"/>
    </row>
    <row r="2338" spans="3:4" x14ac:dyDescent="0.25">
      <c r="C2338"/>
      <c r="D2338"/>
    </row>
    <row r="2339" spans="3:4" x14ac:dyDescent="0.25">
      <c r="C2339"/>
      <c r="D2339"/>
    </row>
    <row r="2340" spans="3:4" x14ac:dyDescent="0.25">
      <c r="C2340"/>
      <c r="D2340"/>
    </row>
    <row r="2341" spans="3:4" x14ac:dyDescent="0.25">
      <c r="C2341"/>
      <c r="D2341"/>
    </row>
    <row r="2342" spans="3:4" x14ac:dyDescent="0.25">
      <c r="C2342"/>
      <c r="D2342"/>
    </row>
    <row r="2343" spans="3:4" x14ac:dyDescent="0.25">
      <c r="C2343"/>
      <c r="D2343"/>
    </row>
    <row r="2344" spans="3:4" x14ac:dyDescent="0.25">
      <c r="C2344"/>
      <c r="D2344"/>
    </row>
    <row r="2345" spans="3:4" x14ac:dyDescent="0.25">
      <c r="C2345"/>
      <c r="D2345"/>
    </row>
    <row r="2346" spans="3:4" x14ac:dyDescent="0.25">
      <c r="C2346"/>
      <c r="D2346"/>
    </row>
    <row r="2347" spans="3:4" x14ac:dyDescent="0.25">
      <c r="C2347"/>
      <c r="D2347"/>
    </row>
    <row r="2348" spans="3:4" x14ac:dyDescent="0.25">
      <c r="C2348"/>
      <c r="D2348"/>
    </row>
    <row r="2349" spans="3:4" x14ac:dyDescent="0.25">
      <c r="C2349"/>
      <c r="D2349"/>
    </row>
    <row r="2350" spans="3:4" x14ac:dyDescent="0.25">
      <c r="C2350"/>
      <c r="D2350"/>
    </row>
    <row r="2351" spans="3:4" x14ac:dyDescent="0.25">
      <c r="C2351"/>
      <c r="D2351"/>
    </row>
    <row r="2352" spans="3:4" x14ac:dyDescent="0.25">
      <c r="C2352"/>
      <c r="D2352"/>
    </row>
    <row r="2353" spans="3:4" x14ac:dyDescent="0.25">
      <c r="C2353"/>
      <c r="D2353"/>
    </row>
    <row r="2354" spans="3:4" x14ac:dyDescent="0.25">
      <c r="C2354"/>
      <c r="D2354"/>
    </row>
    <row r="2355" spans="3:4" x14ac:dyDescent="0.25">
      <c r="C2355"/>
      <c r="D2355"/>
    </row>
    <row r="2356" spans="3:4" x14ac:dyDescent="0.25">
      <c r="C2356"/>
      <c r="D2356"/>
    </row>
    <row r="2357" spans="3:4" x14ac:dyDescent="0.25">
      <c r="C2357"/>
      <c r="D2357"/>
    </row>
    <row r="2358" spans="3:4" x14ac:dyDescent="0.25">
      <c r="C2358"/>
      <c r="D2358"/>
    </row>
    <row r="2359" spans="3:4" x14ac:dyDescent="0.25">
      <c r="C2359"/>
      <c r="D2359"/>
    </row>
    <row r="2360" spans="3:4" x14ac:dyDescent="0.25">
      <c r="C2360"/>
      <c r="D2360"/>
    </row>
    <row r="2361" spans="3:4" x14ac:dyDescent="0.25">
      <c r="C2361"/>
      <c r="D2361"/>
    </row>
    <row r="2362" spans="3:4" x14ac:dyDescent="0.25">
      <c r="C2362"/>
      <c r="D2362"/>
    </row>
    <row r="2363" spans="3:4" x14ac:dyDescent="0.25">
      <c r="C2363"/>
      <c r="D2363"/>
    </row>
    <row r="2364" spans="3:4" x14ac:dyDescent="0.25">
      <c r="C2364"/>
      <c r="D2364"/>
    </row>
    <row r="2365" spans="3:4" x14ac:dyDescent="0.25">
      <c r="C2365"/>
      <c r="D2365"/>
    </row>
    <row r="2366" spans="3:4" x14ac:dyDescent="0.25">
      <c r="C2366"/>
      <c r="D2366"/>
    </row>
    <row r="2367" spans="3:4" x14ac:dyDescent="0.25">
      <c r="C2367"/>
      <c r="D2367"/>
    </row>
    <row r="2368" spans="3:4" x14ac:dyDescent="0.25">
      <c r="C2368"/>
      <c r="D2368"/>
    </row>
    <row r="2369" spans="3:4" x14ac:dyDescent="0.25">
      <c r="C2369"/>
      <c r="D2369"/>
    </row>
    <row r="2370" spans="3:4" x14ac:dyDescent="0.25">
      <c r="C2370"/>
      <c r="D2370"/>
    </row>
    <row r="2371" spans="3:4" x14ac:dyDescent="0.25">
      <c r="C2371"/>
      <c r="D2371"/>
    </row>
    <row r="2372" spans="3:4" x14ac:dyDescent="0.25">
      <c r="C2372"/>
      <c r="D2372"/>
    </row>
    <row r="2373" spans="3:4" x14ac:dyDescent="0.25">
      <c r="C2373"/>
      <c r="D2373"/>
    </row>
    <row r="2374" spans="3:4" x14ac:dyDescent="0.25">
      <c r="C2374"/>
      <c r="D2374"/>
    </row>
    <row r="2375" spans="3:4" x14ac:dyDescent="0.25">
      <c r="C2375"/>
      <c r="D2375"/>
    </row>
    <row r="2376" spans="3:4" x14ac:dyDescent="0.25">
      <c r="C2376"/>
      <c r="D2376"/>
    </row>
    <row r="2377" spans="3:4" x14ac:dyDescent="0.25">
      <c r="C2377"/>
      <c r="D2377"/>
    </row>
    <row r="2378" spans="3:4" x14ac:dyDescent="0.25">
      <c r="C2378"/>
      <c r="D2378"/>
    </row>
    <row r="2379" spans="3:4" x14ac:dyDescent="0.25">
      <c r="C2379"/>
      <c r="D2379"/>
    </row>
    <row r="2380" spans="3:4" x14ac:dyDescent="0.25">
      <c r="C2380"/>
      <c r="D2380"/>
    </row>
    <row r="2381" spans="3:4" x14ac:dyDescent="0.25">
      <c r="C2381"/>
      <c r="D2381"/>
    </row>
    <row r="2382" spans="3:4" x14ac:dyDescent="0.25">
      <c r="C2382"/>
      <c r="D2382"/>
    </row>
    <row r="2383" spans="3:4" x14ac:dyDescent="0.25">
      <c r="C2383"/>
      <c r="D2383"/>
    </row>
    <row r="2384" spans="3:4" x14ac:dyDescent="0.25">
      <c r="C2384"/>
      <c r="D2384"/>
    </row>
    <row r="2385" spans="3:4" x14ac:dyDescent="0.25">
      <c r="C2385"/>
      <c r="D2385"/>
    </row>
    <row r="2386" spans="3:4" x14ac:dyDescent="0.25">
      <c r="C2386"/>
      <c r="D2386"/>
    </row>
    <row r="2387" spans="3:4" x14ac:dyDescent="0.25">
      <c r="C2387"/>
      <c r="D2387"/>
    </row>
    <row r="2388" spans="3:4" x14ac:dyDescent="0.25">
      <c r="C2388"/>
      <c r="D2388"/>
    </row>
    <row r="2389" spans="3:4" x14ac:dyDescent="0.25">
      <c r="C2389"/>
      <c r="D2389"/>
    </row>
    <row r="2390" spans="3:4" x14ac:dyDescent="0.25">
      <c r="C2390"/>
      <c r="D2390"/>
    </row>
    <row r="2391" spans="3:4" x14ac:dyDescent="0.25">
      <c r="C2391"/>
      <c r="D2391"/>
    </row>
    <row r="2392" spans="3:4" x14ac:dyDescent="0.25">
      <c r="C2392"/>
      <c r="D2392"/>
    </row>
    <row r="2393" spans="3:4" x14ac:dyDescent="0.25">
      <c r="C2393"/>
      <c r="D2393"/>
    </row>
    <row r="2394" spans="3:4" x14ac:dyDescent="0.25">
      <c r="C2394"/>
      <c r="D2394"/>
    </row>
    <row r="2395" spans="3:4" x14ac:dyDescent="0.25">
      <c r="C2395"/>
      <c r="D2395"/>
    </row>
    <row r="2396" spans="3:4" x14ac:dyDescent="0.25">
      <c r="C2396"/>
      <c r="D2396"/>
    </row>
    <row r="2397" spans="3:4" x14ac:dyDescent="0.25">
      <c r="C2397"/>
      <c r="D2397"/>
    </row>
    <row r="2398" spans="3:4" x14ac:dyDescent="0.25">
      <c r="C2398"/>
      <c r="D2398"/>
    </row>
    <row r="2399" spans="3:4" x14ac:dyDescent="0.25">
      <c r="C2399"/>
      <c r="D2399"/>
    </row>
    <row r="2400" spans="3:4" x14ac:dyDescent="0.25">
      <c r="C2400"/>
      <c r="D2400"/>
    </row>
    <row r="2401" spans="3:4" x14ac:dyDescent="0.25">
      <c r="C2401"/>
      <c r="D2401"/>
    </row>
    <row r="2402" spans="3:4" x14ac:dyDescent="0.25">
      <c r="C2402"/>
      <c r="D2402"/>
    </row>
    <row r="2403" spans="3:4" x14ac:dyDescent="0.25">
      <c r="C2403"/>
      <c r="D2403"/>
    </row>
    <row r="2404" spans="3:4" x14ac:dyDescent="0.25">
      <c r="C2404"/>
      <c r="D2404"/>
    </row>
    <row r="2405" spans="3:4" x14ac:dyDescent="0.25">
      <c r="C2405"/>
      <c r="D2405"/>
    </row>
    <row r="2406" spans="3:4" x14ac:dyDescent="0.25">
      <c r="C2406"/>
      <c r="D2406"/>
    </row>
    <row r="2407" spans="3:4" x14ac:dyDescent="0.25">
      <c r="C2407"/>
      <c r="D2407"/>
    </row>
    <row r="2408" spans="3:4" x14ac:dyDescent="0.25">
      <c r="C2408"/>
      <c r="D2408"/>
    </row>
    <row r="2409" spans="3:4" x14ac:dyDescent="0.25">
      <c r="C2409"/>
      <c r="D2409"/>
    </row>
    <row r="2410" spans="3:4" x14ac:dyDescent="0.25">
      <c r="C2410"/>
      <c r="D2410"/>
    </row>
    <row r="2411" spans="3:4" x14ac:dyDescent="0.25">
      <c r="C2411"/>
      <c r="D2411"/>
    </row>
    <row r="2412" spans="3:4" x14ac:dyDescent="0.25">
      <c r="C2412"/>
      <c r="D2412"/>
    </row>
    <row r="2413" spans="3:4" x14ac:dyDescent="0.25">
      <c r="C2413"/>
      <c r="D2413"/>
    </row>
    <row r="2414" spans="3:4" x14ac:dyDescent="0.25">
      <c r="C2414"/>
      <c r="D2414"/>
    </row>
    <row r="2415" spans="3:4" x14ac:dyDescent="0.25">
      <c r="C2415"/>
      <c r="D2415"/>
    </row>
    <row r="2416" spans="3:4" x14ac:dyDescent="0.25">
      <c r="C2416"/>
      <c r="D2416"/>
    </row>
    <row r="2417" spans="3:4" x14ac:dyDescent="0.25">
      <c r="C2417"/>
      <c r="D2417"/>
    </row>
    <row r="2418" spans="3:4" x14ac:dyDescent="0.25">
      <c r="C2418"/>
      <c r="D2418"/>
    </row>
    <row r="2419" spans="3:4" x14ac:dyDescent="0.25">
      <c r="C2419"/>
      <c r="D2419"/>
    </row>
    <row r="2420" spans="3:4" x14ac:dyDescent="0.25">
      <c r="C2420"/>
      <c r="D2420"/>
    </row>
    <row r="2421" spans="3:4" x14ac:dyDescent="0.25">
      <c r="C2421"/>
      <c r="D2421"/>
    </row>
    <row r="2422" spans="3:4" x14ac:dyDescent="0.25">
      <c r="C2422"/>
      <c r="D2422"/>
    </row>
    <row r="2423" spans="3:4" x14ac:dyDescent="0.25">
      <c r="C2423"/>
      <c r="D2423"/>
    </row>
    <row r="2424" spans="3:4" x14ac:dyDescent="0.25">
      <c r="C2424"/>
      <c r="D2424"/>
    </row>
    <row r="2425" spans="3:4" x14ac:dyDescent="0.25">
      <c r="C2425"/>
      <c r="D2425"/>
    </row>
    <row r="2426" spans="3:4" x14ac:dyDescent="0.25">
      <c r="C2426"/>
      <c r="D2426"/>
    </row>
    <row r="2427" spans="3:4" x14ac:dyDescent="0.25">
      <c r="C2427"/>
      <c r="D2427"/>
    </row>
    <row r="2428" spans="3:4" x14ac:dyDescent="0.25">
      <c r="C2428"/>
      <c r="D2428"/>
    </row>
    <row r="2429" spans="3:4" x14ac:dyDescent="0.25">
      <c r="C2429"/>
      <c r="D2429"/>
    </row>
    <row r="2430" spans="3:4" x14ac:dyDescent="0.25">
      <c r="C2430"/>
      <c r="D2430"/>
    </row>
    <row r="2431" spans="3:4" x14ac:dyDescent="0.25">
      <c r="C2431"/>
      <c r="D2431"/>
    </row>
    <row r="2432" spans="3:4" x14ac:dyDescent="0.25">
      <c r="C2432"/>
      <c r="D2432"/>
    </row>
    <row r="2433" spans="3:4" x14ac:dyDescent="0.25">
      <c r="C2433"/>
      <c r="D2433"/>
    </row>
    <row r="2434" spans="3:4" x14ac:dyDescent="0.25">
      <c r="C2434"/>
      <c r="D2434"/>
    </row>
    <row r="2435" spans="3:4" x14ac:dyDescent="0.25">
      <c r="C2435"/>
      <c r="D2435"/>
    </row>
    <row r="2436" spans="3:4" x14ac:dyDescent="0.25">
      <c r="C2436"/>
      <c r="D2436"/>
    </row>
    <row r="2437" spans="3:4" x14ac:dyDescent="0.25">
      <c r="C2437"/>
      <c r="D2437"/>
    </row>
    <row r="2438" spans="3:4" x14ac:dyDescent="0.25">
      <c r="C2438"/>
      <c r="D2438"/>
    </row>
    <row r="2439" spans="3:4" x14ac:dyDescent="0.25">
      <c r="C2439"/>
      <c r="D2439"/>
    </row>
    <row r="2440" spans="3:4" x14ac:dyDescent="0.25">
      <c r="C2440"/>
      <c r="D2440"/>
    </row>
    <row r="2441" spans="3:4" x14ac:dyDescent="0.25">
      <c r="C2441"/>
      <c r="D2441"/>
    </row>
    <row r="2442" spans="3:4" x14ac:dyDescent="0.25">
      <c r="C2442"/>
      <c r="D2442"/>
    </row>
    <row r="2443" spans="3:4" x14ac:dyDescent="0.25">
      <c r="C2443"/>
      <c r="D2443"/>
    </row>
    <row r="2444" spans="3:4" x14ac:dyDescent="0.25">
      <c r="C2444"/>
      <c r="D2444"/>
    </row>
    <row r="2445" spans="3:4" x14ac:dyDescent="0.25">
      <c r="C2445"/>
      <c r="D2445"/>
    </row>
    <row r="2446" spans="3:4" x14ac:dyDescent="0.25">
      <c r="C2446"/>
      <c r="D2446"/>
    </row>
    <row r="2447" spans="3:4" x14ac:dyDescent="0.25">
      <c r="C2447"/>
      <c r="D2447"/>
    </row>
    <row r="2448" spans="3:4" x14ac:dyDescent="0.25">
      <c r="C2448"/>
      <c r="D2448"/>
    </row>
    <row r="2449" spans="3:4" x14ac:dyDescent="0.25">
      <c r="C2449"/>
      <c r="D2449"/>
    </row>
    <row r="2450" spans="3:4" x14ac:dyDescent="0.25">
      <c r="C2450"/>
      <c r="D2450"/>
    </row>
    <row r="2451" spans="3:4" x14ac:dyDescent="0.25">
      <c r="C2451"/>
      <c r="D2451"/>
    </row>
    <row r="2452" spans="3:4" x14ac:dyDescent="0.25">
      <c r="C2452"/>
      <c r="D2452"/>
    </row>
    <row r="2453" spans="3:4" x14ac:dyDescent="0.25">
      <c r="C2453"/>
      <c r="D2453"/>
    </row>
    <row r="2454" spans="3:4" x14ac:dyDescent="0.25">
      <c r="C2454"/>
      <c r="D2454"/>
    </row>
    <row r="2455" spans="3:4" x14ac:dyDescent="0.25">
      <c r="C2455"/>
      <c r="D2455"/>
    </row>
    <row r="2456" spans="3:4" x14ac:dyDescent="0.25">
      <c r="C2456"/>
      <c r="D2456"/>
    </row>
    <row r="2457" spans="3:4" x14ac:dyDescent="0.25">
      <c r="C2457"/>
      <c r="D2457"/>
    </row>
    <row r="2458" spans="3:4" x14ac:dyDescent="0.25">
      <c r="C2458"/>
      <c r="D2458"/>
    </row>
    <row r="2459" spans="3:4" x14ac:dyDescent="0.25">
      <c r="C2459"/>
      <c r="D2459"/>
    </row>
    <row r="2460" spans="3:4" x14ac:dyDescent="0.25">
      <c r="C2460"/>
      <c r="D2460"/>
    </row>
    <row r="2461" spans="3:4" x14ac:dyDescent="0.25">
      <c r="C2461"/>
      <c r="D2461"/>
    </row>
    <row r="2462" spans="3:4" x14ac:dyDescent="0.25">
      <c r="C2462"/>
      <c r="D2462"/>
    </row>
    <row r="2463" spans="3:4" x14ac:dyDescent="0.25">
      <c r="C2463"/>
      <c r="D2463"/>
    </row>
    <row r="2464" spans="3:4" x14ac:dyDescent="0.25">
      <c r="C2464"/>
      <c r="D2464"/>
    </row>
    <row r="2465" spans="3:4" x14ac:dyDescent="0.25">
      <c r="C2465"/>
      <c r="D2465"/>
    </row>
    <row r="2466" spans="3:4" x14ac:dyDescent="0.25">
      <c r="C2466"/>
      <c r="D2466"/>
    </row>
    <row r="2467" spans="3:4" x14ac:dyDescent="0.25">
      <c r="C2467"/>
      <c r="D2467"/>
    </row>
    <row r="2468" spans="3:4" x14ac:dyDescent="0.25">
      <c r="C2468"/>
      <c r="D2468"/>
    </row>
    <row r="2469" spans="3:4" x14ac:dyDescent="0.25">
      <c r="C2469"/>
      <c r="D2469"/>
    </row>
    <row r="2470" spans="3:4" x14ac:dyDescent="0.25">
      <c r="C2470"/>
      <c r="D2470"/>
    </row>
    <row r="2471" spans="3:4" x14ac:dyDescent="0.25">
      <c r="C2471"/>
      <c r="D2471"/>
    </row>
    <row r="2472" spans="3:4" x14ac:dyDescent="0.25">
      <c r="C2472"/>
      <c r="D2472"/>
    </row>
    <row r="2473" spans="3:4" x14ac:dyDescent="0.25">
      <c r="C2473"/>
      <c r="D2473"/>
    </row>
    <row r="2474" spans="3:4" x14ac:dyDescent="0.25">
      <c r="C2474"/>
      <c r="D2474"/>
    </row>
    <row r="2475" spans="3:4" x14ac:dyDescent="0.25">
      <c r="C2475"/>
      <c r="D2475"/>
    </row>
    <row r="2476" spans="3:4" x14ac:dyDescent="0.25">
      <c r="C2476"/>
      <c r="D2476"/>
    </row>
    <row r="2477" spans="3:4" x14ac:dyDescent="0.25">
      <c r="C2477"/>
      <c r="D2477"/>
    </row>
    <row r="2478" spans="3:4" x14ac:dyDescent="0.25">
      <c r="C2478"/>
      <c r="D2478"/>
    </row>
    <row r="2479" spans="3:4" x14ac:dyDescent="0.25">
      <c r="C2479"/>
      <c r="D2479"/>
    </row>
    <row r="2480" spans="3:4" x14ac:dyDescent="0.25">
      <c r="C2480"/>
      <c r="D2480"/>
    </row>
    <row r="2481" spans="3:4" x14ac:dyDescent="0.25">
      <c r="C2481"/>
      <c r="D2481"/>
    </row>
    <row r="2482" spans="3:4" x14ac:dyDescent="0.25">
      <c r="C2482"/>
      <c r="D2482"/>
    </row>
    <row r="2483" spans="3:4" x14ac:dyDescent="0.25">
      <c r="C2483"/>
      <c r="D2483"/>
    </row>
    <row r="2484" spans="3:4" x14ac:dyDescent="0.25">
      <c r="C2484"/>
      <c r="D2484"/>
    </row>
    <row r="2485" spans="3:4" x14ac:dyDescent="0.25">
      <c r="C2485"/>
      <c r="D2485"/>
    </row>
    <row r="2486" spans="3:4" x14ac:dyDescent="0.25">
      <c r="C2486"/>
      <c r="D2486"/>
    </row>
    <row r="2487" spans="3:4" x14ac:dyDescent="0.25">
      <c r="C2487"/>
      <c r="D2487"/>
    </row>
    <row r="2488" spans="3:4" x14ac:dyDescent="0.25">
      <c r="C2488"/>
      <c r="D2488"/>
    </row>
    <row r="2489" spans="3:4" x14ac:dyDescent="0.25">
      <c r="C2489"/>
      <c r="D2489"/>
    </row>
    <row r="2490" spans="3:4" x14ac:dyDescent="0.25">
      <c r="C2490"/>
      <c r="D2490"/>
    </row>
    <row r="2491" spans="3:4" x14ac:dyDescent="0.25">
      <c r="C2491"/>
      <c r="D2491"/>
    </row>
    <row r="2492" spans="3:4" x14ac:dyDescent="0.25">
      <c r="C2492"/>
      <c r="D2492"/>
    </row>
    <row r="2493" spans="3:4" x14ac:dyDescent="0.25">
      <c r="C2493"/>
      <c r="D2493"/>
    </row>
    <row r="2494" spans="3:4" x14ac:dyDescent="0.25">
      <c r="C2494"/>
      <c r="D2494"/>
    </row>
    <row r="2495" spans="3:4" x14ac:dyDescent="0.25">
      <c r="C2495"/>
      <c r="D2495"/>
    </row>
    <row r="2496" spans="3:4" x14ac:dyDescent="0.25">
      <c r="C2496"/>
      <c r="D2496"/>
    </row>
    <row r="2497" spans="3:4" x14ac:dyDescent="0.25">
      <c r="C2497"/>
      <c r="D2497"/>
    </row>
    <row r="2498" spans="3:4" x14ac:dyDescent="0.25">
      <c r="C2498"/>
      <c r="D2498"/>
    </row>
    <row r="2499" spans="3:4" x14ac:dyDescent="0.25">
      <c r="C2499"/>
      <c r="D2499"/>
    </row>
    <row r="2500" spans="3:4" x14ac:dyDescent="0.25">
      <c r="C2500"/>
      <c r="D2500"/>
    </row>
    <row r="2501" spans="3:4" x14ac:dyDescent="0.25">
      <c r="C2501"/>
      <c r="D2501"/>
    </row>
    <row r="2502" spans="3:4" x14ac:dyDescent="0.25">
      <c r="C2502"/>
      <c r="D2502"/>
    </row>
    <row r="2503" spans="3:4" x14ac:dyDescent="0.25">
      <c r="C2503"/>
      <c r="D2503"/>
    </row>
    <row r="2504" spans="3:4" x14ac:dyDescent="0.25">
      <c r="C2504"/>
      <c r="D2504"/>
    </row>
    <row r="2505" spans="3:4" x14ac:dyDescent="0.25">
      <c r="C2505"/>
      <c r="D2505"/>
    </row>
    <row r="2506" spans="3:4" x14ac:dyDescent="0.25">
      <c r="C2506"/>
      <c r="D2506"/>
    </row>
    <row r="2507" spans="3:4" x14ac:dyDescent="0.25">
      <c r="C2507"/>
      <c r="D2507"/>
    </row>
    <row r="2508" spans="3:4" x14ac:dyDescent="0.25">
      <c r="C2508"/>
      <c r="D2508"/>
    </row>
    <row r="2509" spans="3:4" x14ac:dyDescent="0.25">
      <c r="C2509"/>
      <c r="D2509"/>
    </row>
    <row r="2510" spans="3:4" x14ac:dyDescent="0.25">
      <c r="C2510"/>
      <c r="D2510"/>
    </row>
    <row r="2511" spans="3:4" x14ac:dyDescent="0.25">
      <c r="C2511"/>
      <c r="D2511"/>
    </row>
    <row r="2512" spans="3:4" x14ac:dyDescent="0.25">
      <c r="C2512"/>
      <c r="D2512"/>
    </row>
    <row r="2513" spans="3:4" x14ac:dyDescent="0.25">
      <c r="C2513"/>
      <c r="D2513"/>
    </row>
    <row r="2514" spans="3:4" x14ac:dyDescent="0.25">
      <c r="C2514"/>
      <c r="D2514"/>
    </row>
    <row r="2515" spans="3:4" x14ac:dyDescent="0.25">
      <c r="C2515"/>
      <c r="D2515"/>
    </row>
    <row r="2516" spans="3:4" x14ac:dyDescent="0.25">
      <c r="C2516"/>
      <c r="D2516"/>
    </row>
    <row r="2517" spans="3:4" x14ac:dyDescent="0.25">
      <c r="C2517"/>
      <c r="D2517"/>
    </row>
    <row r="2518" spans="3:4" x14ac:dyDescent="0.25">
      <c r="C2518"/>
      <c r="D2518"/>
    </row>
    <row r="2519" spans="3:4" x14ac:dyDescent="0.25">
      <c r="C2519"/>
      <c r="D2519"/>
    </row>
    <row r="2520" spans="3:4" x14ac:dyDescent="0.25">
      <c r="C2520"/>
      <c r="D2520"/>
    </row>
    <row r="2521" spans="3:4" x14ac:dyDescent="0.25">
      <c r="C2521"/>
      <c r="D2521"/>
    </row>
    <row r="2522" spans="3:4" x14ac:dyDescent="0.25">
      <c r="C2522"/>
      <c r="D2522"/>
    </row>
    <row r="2523" spans="3:4" x14ac:dyDescent="0.25">
      <c r="C2523"/>
      <c r="D2523"/>
    </row>
    <row r="2524" spans="3:4" x14ac:dyDescent="0.25">
      <c r="C2524"/>
      <c r="D2524"/>
    </row>
    <row r="2525" spans="3:4" x14ac:dyDescent="0.25">
      <c r="C2525"/>
      <c r="D2525"/>
    </row>
    <row r="2526" spans="3:4" x14ac:dyDescent="0.25">
      <c r="C2526"/>
      <c r="D2526"/>
    </row>
    <row r="2527" spans="3:4" x14ac:dyDescent="0.25">
      <c r="C2527"/>
      <c r="D2527"/>
    </row>
    <row r="2528" spans="3:4" x14ac:dyDescent="0.25">
      <c r="C2528"/>
      <c r="D2528"/>
    </row>
    <row r="2529" spans="3:4" x14ac:dyDescent="0.25">
      <c r="C2529"/>
      <c r="D2529"/>
    </row>
    <row r="2530" spans="3:4" x14ac:dyDescent="0.25">
      <c r="C2530"/>
      <c r="D2530"/>
    </row>
    <row r="2531" spans="3:4" x14ac:dyDescent="0.25">
      <c r="C2531"/>
      <c r="D2531"/>
    </row>
    <row r="2532" spans="3:4" x14ac:dyDescent="0.25">
      <c r="C2532"/>
      <c r="D2532"/>
    </row>
    <row r="2533" spans="3:4" x14ac:dyDescent="0.25">
      <c r="C2533"/>
      <c r="D2533"/>
    </row>
    <row r="2534" spans="3:4" x14ac:dyDescent="0.25">
      <c r="C2534"/>
      <c r="D2534"/>
    </row>
    <row r="2535" spans="3:4" x14ac:dyDescent="0.25">
      <c r="C2535"/>
      <c r="D2535"/>
    </row>
    <row r="2536" spans="3:4" x14ac:dyDescent="0.25">
      <c r="C2536"/>
      <c r="D2536"/>
    </row>
    <row r="2537" spans="3:4" x14ac:dyDescent="0.25">
      <c r="C2537"/>
      <c r="D2537"/>
    </row>
    <row r="2538" spans="3:4" x14ac:dyDescent="0.25">
      <c r="C2538"/>
      <c r="D2538"/>
    </row>
    <row r="2539" spans="3:4" x14ac:dyDescent="0.25">
      <c r="C2539"/>
      <c r="D2539"/>
    </row>
    <row r="2540" spans="3:4" x14ac:dyDescent="0.25">
      <c r="C2540"/>
      <c r="D2540"/>
    </row>
    <row r="2541" spans="3:4" x14ac:dyDescent="0.25">
      <c r="C2541"/>
      <c r="D2541"/>
    </row>
    <row r="2542" spans="3:4" x14ac:dyDescent="0.25">
      <c r="C2542"/>
      <c r="D2542"/>
    </row>
    <row r="2543" spans="3:4" x14ac:dyDescent="0.25">
      <c r="C2543"/>
      <c r="D2543"/>
    </row>
    <row r="2544" spans="3:4" x14ac:dyDescent="0.25">
      <c r="C2544"/>
      <c r="D2544"/>
    </row>
    <row r="2545" spans="3:4" x14ac:dyDescent="0.25">
      <c r="C2545"/>
      <c r="D2545"/>
    </row>
    <row r="2546" spans="3:4" x14ac:dyDescent="0.25">
      <c r="C2546"/>
      <c r="D2546"/>
    </row>
    <row r="2547" spans="3:4" x14ac:dyDescent="0.25">
      <c r="C2547"/>
      <c r="D2547"/>
    </row>
    <row r="2548" spans="3:4" x14ac:dyDescent="0.25">
      <c r="C2548"/>
      <c r="D2548"/>
    </row>
    <row r="2549" spans="3:4" x14ac:dyDescent="0.25">
      <c r="C2549"/>
      <c r="D2549"/>
    </row>
    <row r="2550" spans="3:4" x14ac:dyDescent="0.25">
      <c r="C2550"/>
      <c r="D2550"/>
    </row>
    <row r="2551" spans="3:4" x14ac:dyDescent="0.25">
      <c r="C2551"/>
      <c r="D2551"/>
    </row>
    <row r="2552" spans="3:4" x14ac:dyDescent="0.25">
      <c r="C2552"/>
      <c r="D2552"/>
    </row>
    <row r="2553" spans="3:4" x14ac:dyDescent="0.25">
      <c r="C2553"/>
      <c r="D2553"/>
    </row>
    <row r="2554" spans="3:4" x14ac:dyDescent="0.25">
      <c r="C2554"/>
      <c r="D2554"/>
    </row>
    <row r="2555" spans="3:4" x14ac:dyDescent="0.25">
      <c r="C2555"/>
      <c r="D2555"/>
    </row>
    <row r="2556" spans="3:4" x14ac:dyDescent="0.25">
      <c r="C2556"/>
      <c r="D2556"/>
    </row>
    <row r="2557" spans="3:4" x14ac:dyDescent="0.25">
      <c r="C2557"/>
      <c r="D2557"/>
    </row>
    <row r="2558" spans="3:4" x14ac:dyDescent="0.25">
      <c r="C2558"/>
      <c r="D2558"/>
    </row>
    <row r="2559" spans="3:4" x14ac:dyDescent="0.25">
      <c r="C2559"/>
      <c r="D2559"/>
    </row>
    <row r="2560" spans="3:4" x14ac:dyDescent="0.25">
      <c r="C2560"/>
      <c r="D2560"/>
    </row>
    <row r="2561" spans="3:4" x14ac:dyDescent="0.25">
      <c r="C2561"/>
      <c r="D2561"/>
    </row>
    <row r="2562" spans="3:4" x14ac:dyDescent="0.25">
      <c r="C2562"/>
      <c r="D2562"/>
    </row>
    <row r="2563" spans="3:4" x14ac:dyDescent="0.25">
      <c r="C2563"/>
      <c r="D2563"/>
    </row>
    <row r="2564" spans="3:4" x14ac:dyDescent="0.25">
      <c r="C2564"/>
      <c r="D2564"/>
    </row>
    <row r="2565" spans="3:4" x14ac:dyDescent="0.25">
      <c r="C2565"/>
      <c r="D2565"/>
    </row>
    <row r="2566" spans="3:4" x14ac:dyDescent="0.25">
      <c r="C2566"/>
      <c r="D2566"/>
    </row>
    <row r="2567" spans="3:4" x14ac:dyDescent="0.25">
      <c r="C2567"/>
      <c r="D2567"/>
    </row>
    <row r="2568" spans="3:4" x14ac:dyDescent="0.25">
      <c r="C2568"/>
      <c r="D2568"/>
    </row>
    <row r="2569" spans="3:4" x14ac:dyDescent="0.25">
      <c r="C2569"/>
      <c r="D2569"/>
    </row>
    <row r="2570" spans="3:4" x14ac:dyDescent="0.25">
      <c r="C2570"/>
      <c r="D2570"/>
    </row>
    <row r="2571" spans="3:4" x14ac:dyDescent="0.25">
      <c r="C2571"/>
      <c r="D2571"/>
    </row>
    <row r="2572" spans="3:4" x14ac:dyDescent="0.25">
      <c r="C2572"/>
      <c r="D2572"/>
    </row>
    <row r="2573" spans="3:4" x14ac:dyDescent="0.25">
      <c r="C2573"/>
      <c r="D2573"/>
    </row>
    <row r="2574" spans="3:4" x14ac:dyDescent="0.25">
      <c r="C2574"/>
      <c r="D2574"/>
    </row>
    <row r="2575" spans="3:4" x14ac:dyDescent="0.25">
      <c r="C2575"/>
      <c r="D2575"/>
    </row>
    <row r="2576" spans="3:4" x14ac:dyDescent="0.25">
      <c r="C2576"/>
      <c r="D2576"/>
    </row>
    <row r="2577" spans="3:4" x14ac:dyDescent="0.25">
      <c r="C2577"/>
      <c r="D2577"/>
    </row>
    <row r="2578" spans="3:4" x14ac:dyDescent="0.25">
      <c r="C2578"/>
      <c r="D2578"/>
    </row>
    <row r="2579" spans="3:4" x14ac:dyDescent="0.25">
      <c r="C2579"/>
      <c r="D2579"/>
    </row>
    <row r="2580" spans="3:4" x14ac:dyDescent="0.25">
      <c r="C2580"/>
      <c r="D2580"/>
    </row>
    <row r="2581" spans="3:4" x14ac:dyDescent="0.25">
      <c r="C2581"/>
      <c r="D2581"/>
    </row>
    <row r="2582" spans="3:4" x14ac:dyDescent="0.25">
      <c r="C2582"/>
      <c r="D2582"/>
    </row>
    <row r="2583" spans="3:4" x14ac:dyDescent="0.25">
      <c r="C2583"/>
      <c r="D2583"/>
    </row>
    <row r="2584" spans="3:4" x14ac:dyDescent="0.25">
      <c r="C2584"/>
      <c r="D2584"/>
    </row>
    <row r="2585" spans="3:4" x14ac:dyDescent="0.25">
      <c r="C2585"/>
      <c r="D2585"/>
    </row>
    <row r="2586" spans="3:4" x14ac:dyDescent="0.25">
      <c r="C2586"/>
      <c r="D2586"/>
    </row>
    <row r="2587" spans="3:4" x14ac:dyDescent="0.25">
      <c r="C2587"/>
      <c r="D2587"/>
    </row>
    <row r="2588" spans="3:4" x14ac:dyDescent="0.25">
      <c r="C2588"/>
      <c r="D2588"/>
    </row>
    <row r="2589" spans="3:4" x14ac:dyDescent="0.25">
      <c r="C2589"/>
      <c r="D2589"/>
    </row>
    <row r="2590" spans="3:4" x14ac:dyDescent="0.25">
      <c r="C2590"/>
      <c r="D2590"/>
    </row>
    <row r="2591" spans="3:4" x14ac:dyDescent="0.25">
      <c r="C2591"/>
      <c r="D2591"/>
    </row>
    <row r="2592" spans="3:4" x14ac:dyDescent="0.25">
      <c r="C2592"/>
      <c r="D2592"/>
    </row>
    <row r="2593" spans="3:4" x14ac:dyDescent="0.25">
      <c r="C2593"/>
      <c r="D2593"/>
    </row>
    <row r="2594" spans="3:4" x14ac:dyDescent="0.25">
      <c r="C2594"/>
      <c r="D2594"/>
    </row>
    <row r="2595" spans="3:4" x14ac:dyDescent="0.25">
      <c r="C2595"/>
      <c r="D2595"/>
    </row>
    <row r="2596" spans="3:4" x14ac:dyDescent="0.25">
      <c r="C2596"/>
      <c r="D2596"/>
    </row>
    <row r="2597" spans="3:4" x14ac:dyDescent="0.25">
      <c r="C2597"/>
      <c r="D2597"/>
    </row>
    <row r="2598" spans="3:4" x14ac:dyDescent="0.25">
      <c r="C2598"/>
      <c r="D2598"/>
    </row>
    <row r="2599" spans="3:4" x14ac:dyDescent="0.25">
      <c r="C2599"/>
      <c r="D2599"/>
    </row>
    <row r="2600" spans="3:4" x14ac:dyDescent="0.25">
      <c r="C2600"/>
      <c r="D2600"/>
    </row>
    <row r="2601" spans="3:4" x14ac:dyDescent="0.25">
      <c r="C2601"/>
      <c r="D2601"/>
    </row>
    <row r="2602" spans="3:4" x14ac:dyDescent="0.25">
      <c r="C2602"/>
      <c r="D2602"/>
    </row>
    <row r="2603" spans="3:4" x14ac:dyDescent="0.25">
      <c r="C2603"/>
      <c r="D2603"/>
    </row>
    <row r="2604" spans="3:4" x14ac:dyDescent="0.25">
      <c r="C2604"/>
      <c r="D2604"/>
    </row>
    <row r="2605" spans="3:4" x14ac:dyDescent="0.25">
      <c r="C2605"/>
      <c r="D2605"/>
    </row>
    <row r="2606" spans="3:4" x14ac:dyDescent="0.25">
      <c r="C2606"/>
      <c r="D2606"/>
    </row>
    <row r="2607" spans="3:4" x14ac:dyDescent="0.25">
      <c r="C2607"/>
      <c r="D2607"/>
    </row>
    <row r="2608" spans="3:4" x14ac:dyDescent="0.25">
      <c r="C2608"/>
      <c r="D2608"/>
    </row>
    <row r="2609" spans="3:4" x14ac:dyDescent="0.25">
      <c r="C2609"/>
      <c r="D2609"/>
    </row>
    <row r="2610" spans="3:4" x14ac:dyDescent="0.25">
      <c r="C2610"/>
      <c r="D2610"/>
    </row>
    <row r="2611" spans="3:4" x14ac:dyDescent="0.25">
      <c r="C2611"/>
      <c r="D2611"/>
    </row>
    <row r="2612" spans="3:4" x14ac:dyDescent="0.25">
      <c r="C2612"/>
      <c r="D2612"/>
    </row>
    <row r="2613" spans="3:4" x14ac:dyDescent="0.25">
      <c r="C2613"/>
      <c r="D2613"/>
    </row>
    <row r="2614" spans="3:4" x14ac:dyDescent="0.25">
      <c r="C2614"/>
      <c r="D2614"/>
    </row>
    <row r="2615" spans="3:4" x14ac:dyDescent="0.25">
      <c r="C2615"/>
      <c r="D2615"/>
    </row>
    <row r="2616" spans="3:4" x14ac:dyDescent="0.25">
      <c r="C2616"/>
      <c r="D2616"/>
    </row>
    <row r="2617" spans="3:4" x14ac:dyDescent="0.25">
      <c r="C2617"/>
      <c r="D2617"/>
    </row>
    <row r="2618" spans="3:4" x14ac:dyDescent="0.25">
      <c r="C2618"/>
      <c r="D2618"/>
    </row>
    <row r="2619" spans="3:4" x14ac:dyDescent="0.25">
      <c r="C2619"/>
      <c r="D2619"/>
    </row>
    <row r="2620" spans="3:4" x14ac:dyDescent="0.25">
      <c r="C2620"/>
      <c r="D2620"/>
    </row>
    <row r="2621" spans="3:4" x14ac:dyDescent="0.25">
      <c r="C2621"/>
      <c r="D2621"/>
    </row>
    <row r="2622" spans="3:4" x14ac:dyDescent="0.25">
      <c r="C2622"/>
      <c r="D2622"/>
    </row>
    <row r="2623" spans="3:4" x14ac:dyDescent="0.25">
      <c r="C2623"/>
      <c r="D2623"/>
    </row>
    <row r="2624" spans="3:4" x14ac:dyDescent="0.25">
      <c r="C2624"/>
      <c r="D2624"/>
    </row>
    <row r="2625" spans="3:4" x14ac:dyDescent="0.25">
      <c r="C2625"/>
      <c r="D2625"/>
    </row>
    <row r="2626" spans="3:4" x14ac:dyDescent="0.25">
      <c r="C2626"/>
      <c r="D2626"/>
    </row>
    <row r="2627" spans="3:4" x14ac:dyDescent="0.25">
      <c r="C2627"/>
      <c r="D2627"/>
    </row>
    <row r="2628" spans="3:4" x14ac:dyDescent="0.25">
      <c r="C2628"/>
      <c r="D2628"/>
    </row>
    <row r="2629" spans="3:4" x14ac:dyDescent="0.25">
      <c r="C2629"/>
      <c r="D2629"/>
    </row>
    <row r="2630" spans="3:4" x14ac:dyDescent="0.25">
      <c r="C2630"/>
      <c r="D2630"/>
    </row>
    <row r="2631" spans="3:4" x14ac:dyDescent="0.25">
      <c r="C2631"/>
      <c r="D2631"/>
    </row>
    <row r="2632" spans="3:4" x14ac:dyDescent="0.25">
      <c r="C2632"/>
      <c r="D2632"/>
    </row>
    <row r="2633" spans="3:4" x14ac:dyDescent="0.25">
      <c r="C2633"/>
      <c r="D2633"/>
    </row>
    <row r="2634" spans="3:4" x14ac:dyDescent="0.25">
      <c r="C2634"/>
      <c r="D2634"/>
    </row>
    <row r="2635" spans="3:4" x14ac:dyDescent="0.25">
      <c r="C2635"/>
      <c r="D2635"/>
    </row>
    <row r="2636" spans="3:4" x14ac:dyDescent="0.25">
      <c r="C2636"/>
      <c r="D2636"/>
    </row>
    <row r="2637" spans="3:4" x14ac:dyDescent="0.25">
      <c r="C2637"/>
      <c r="D2637"/>
    </row>
    <row r="2638" spans="3:4" x14ac:dyDescent="0.25">
      <c r="C2638"/>
      <c r="D2638"/>
    </row>
    <row r="2639" spans="3:4" x14ac:dyDescent="0.25">
      <c r="C2639"/>
      <c r="D2639"/>
    </row>
    <row r="2640" spans="3:4" x14ac:dyDescent="0.25">
      <c r="C2640"/>
      <c r="D2640"/>
    </row>
    <row r="2641" spans="3:4" x14ac:dyDescent="0.25">
      <c r="C2641"/>
      <c r="D2641"/>
    </row>
    <row r="2642" spans="3:4" x14ac:dyDescent="0.25">
      <c r="C2642"/>
      <c r="D2642"/>
    </row>
    <row r="2643" spans="3:4" x14ac:dyDescent="0.25">
      <c r="C2643"/>
      <c r="D2643"/>
    </row>
    <row r="2644" spans="3:4" x14ac:dyDescent="0.25">
      <c r="C2644"/>
      <c r="D2644"/>
    </row>
    <row r="2645" spans="3:4" x14ac:dyDescent="0.25">
      <c r="C2645"/>
      <c r="D2645"/>
    </row>
    <row r="2646" spans="3:4" x14ac:dyDescent="0.25">
      <c r="C2646"/>
      <c r="D2646"/>
    </row>
    <row r="2647" spans="3:4" x14ac:dyDescent="0.25">
      <c r="C2647"/>
      <c r="D2647"/>
    </row>
    <row r="2648" spans="3:4" x14ac:dyDescent="0.25">
      <c r="C2648"/>
      <c r="D2648"/>
    </row>
    <row r="2649" spans="3:4" x14ac:dyDescent="0.25">
      <c r="C2649"/>
      <c r="D2649"/>
    </row>
    <row r="2650" spans="3:4" x14ac:dyDescent="0.25">
      <c r="C2650"/>
      <c r="D2650"/>
    </row>
    <row r="2651" spans="3:4" x14ac:dyDescent="0.25">
      <c r="C2651"/>
      <c r="D2651"/>
    </row>
    <row r="2652" spans="3:4" x14ac:dyDescent="0.25">
      <c r="C2652"/>
      <c r="D2652"/>
    </row>
    <row r="2653" spans="3:4" x14ac:dyDescent="0.25">
      <c r="C2653"/>
      <c r="D2653"/>
    </row>
    <row r="2654" spans="3:4" x14ac:dyDescent="0.25">
      <c r="C2654"/>
      <c r="D2654"/>
    </row>
    <row r="2655" spans="3:4" x14ac:dyDescent="0.25">
      <c r="C2655"/>
      <c r="D2655"/>
    </row>
    <row r="2656" spans="3:4" x14ac:dyDescent="0.25">
      <c r="C2656"/>
      <c r="D2656"/>
    </row>
    <row r="2657" spans="3:4" x14ac:dyDescent="0.25">
      <c r="C2657"/>
      <c r="D2657"/>
    </row>
    <row r="2658" spans="3:4" x14ac:dyDescent="0.25">
      <c r="C2658"/>
      <c r="D2658"/>
    </row>
    <row r="2659" spans="3:4" x14ac:dyDescent="0.25">
      <c r="C2659"/>
      <c r="D2659"/>
    </row>
    <row r="2660" spans="3:4" x14ac:dyDescent="0.25">
      <c r="C2660"/>
      <c r="D2660"/>
    </row>
    <row r="2661" spans="3:4" x14ac:dyDescent="0.25">
      <c r="C2661"/>
      <c r="D2661"/>
    </row>
    <row r="2662" spans="3:4" x14ac:dyDescent="0.25">
      <c r="C2662"/>
      <c r="D2662"/>
    </row>
    <row r="2663" spans="3:4" x14ac:dyDescent="0.25">
      <c r="C2663"/>
      <c r="D2663"/>
    </row>
    <row r="2664" spans="3:4" x14ac:dyDescent="0.25">
      <c r="C2664"/>
      <c r="D2664"/>
    </row>
    <row r="2665" spans="3:4" x14ac:dyDescent="0.25">
      <c r="C2665"/>
      <c r="D2665"/>
    </row>
    <row r="2666" spans="3:4" x14ac:dyDescent="0.25">
      <c r="C2666"/>
      <c r="D2666"/>
    </row>
    <row r="2667" spans="3:4" x14ac:dyDescent="0.25">
      <c r="C2667"/>
      <c r="D2667"/>
    </row>
    <row r="2668" spans="3:4" x14ac:dyDescent="0.25">
      <c r="C2668"/>
      <c r="D2668"/>
    </row>
    <row r="2669" spans="3:4" x14ac:dyDescent="0.25">
      <c r="C2669"/>
      <c r="D2669"/>
    </row>
    <row r="2670" spans="3:4" x14ac:dyDescent="0.25">
      <c r="C2670"/>
      <c r="D2670"/>
    </row>
    <row r="2671" spans="3:4" x14ac:dyDescent="0.25">
      <c r="C2671"/>
      <c r="D2671"/>
    </row>
    <row r="2672" spans="3:4" x14ac:dyDescent="0.25">
      <c r="C2672"/>
      <c r="D2672"/>
    </row>
    <row r="2673" spans="3:4" x14ac:dyDescent="0.25">
      <c r="C2673"/>
      <c r="D2673"/>
    </row>
    <row r="2674" spans="3:4" x14ac:dyDescent="0.25">
      <c r="C2674"/>
      <c r="D2674"/>
    </row>
    <row r="2675" spans="3:4" x14ac:dyDescent="0.25">
      <c r="C2675"/>
      <c r="D2675"/>
    </row>
    <row r="2676" spans="3:4" x14ac:dyDescent="0.25">
      <c r="C2676"/>
      <c r="D2676"/>
    </row>
    <row r="2677" spans="3:4" x14ac:dyDescent="0.25">
      <c r="C2677"/>
      <c r="D2677"/>
    </row>
    <row r="2678" spans="3:4" x14ac:dyDescent="0.25">
      <c r="C2678"/>
      <c r="D2678"/>
    </row>
    <row r="2679" spans="3:4" x14ac:dyDescent="0.25">
      <c r="C2679"/>
      <c r="D2679"/>
    </row>
    <row r="2680" spans="3:4" x14ac:dyDescent="0.25">
      <c r="C2680"/>
      <c r="D2680"/>
    </row>
    <row r="2681" spans="3:4" x14ac:dyDescent="0.25">
      <c r="C2681"/>
      <c r="D2681"/>
    </row>
    <row r="2682" spans="3:4" x14ac:dyDescent="0.25">
      <c r="C2682"/>
      <c r="D2682"/>
    </row>
    <row r="2683" spans="3:4" x14ac:dyDescent="0.25">
      <c r="C2683"/>
      <c r="D2683"/>
    </row>
    <row r="2684" spans="3:4" x14ac:dyDescent="0.25">
      <c r="C2684"/>
      <c r="D2684"/>
    </row>
    <row r="2685" spans="3:4" x14ac:dyDescent="0.25">
      <c r="C2685"/>
      <c r="D2685"/>
    </row>
    <row r="2686" spans="3:4" x14ac:dyDescent="0.25">
      <c r="C2686"/>
      <c r="D2686"/>
    </row>
    <row r="2687" spans="3:4" x14ac:dyDescent="0.25">
      <c r="C2687"/>
      <c r="D2687"/>
    </row>
    <row r="2688" spans="3:4" x14ac:dyDescent="0.25">
      <c r="C2688"/>
      <c r="D2688"/>
    </row>
    <row r="2689" spans="3:4" x14ac:dyDescent="0.25">
      <c r="C2689"/>
      <c r="D2689"/>
    </row>
    <row r="2690" spans="3:4" x14ac:dyDescent="0.25">
      <c r="C2690"/>
      <c r="D2690"/>
    </row>
    <row r="2691" spans="3:4" x14ac:dyDescent="0.25">
      <c r="C2691"/>
      <c r="D2691"/>
    </row>
    <row r="2692" spans="3:4" x14ac:dyDescent="0.25">
      <c r="C2692"/>
      <c r="D2692"/>
    </row>
    <row r="2693" spans="3:4" x14ac:dyDescent="0.25">
      <c r="C2693"/>
      <c r="D2693"/>
    </row>
    <row r="2694" spans="3:4" x14ac:dyDescent="0.25">
      <c r="C2694"/>
      <c r="D2694"/>
    </row>
    <row r="2695" spans="3:4" x14ac:dyDescent="0.25">
      <c r="C2695"/>
      <c r="D2695"/>
    </row>
    <row r="2696" spans="3:4" x14ac:dyDescent="0.25">
      <c r="C2696"/>
      <c r="D2696"/>
    </row>
    <row r="2697" spans="3:4" x14ac:dyDescent="0.25">
      <c r="C2697"/>
      <c r="D2697"/>
    </row>
    <row r="2698" spans="3:4" x14ac:dyDescent="0.25">
      <c r="C2698"/>
      <c r="D2698"/>
    </row>
    <row r="2699" spans="3:4" x14ac:dyDescent="0.25">
      <c r="C2699"/>
      <c r="D2699"/>
    </row>
    <row r="2700" spans="3:4" x14ac:dyDescent="0.25">
      <c r="C2700"/>
      <c r="D2700"/>
    </row>
    <row r="2701" spans="3:4" x14ac:dyDescent="0.25">
      <c r="C2701"/>
      <c r="D2701"/>
    </row>
    <row r="2702" spans="3:4" x14ac:dyDescent="0.25">
      <c r="C2702"/>
      <c r="D2702"/>
    </row>
    <row r="2703" spans="3:4" x14ac:dyDescent="0.25">
      <c r="C2703"/>
      <c r="D2703"/>
    </row>
    <row r="2704" spans="3:4" x14ac:dyDescent="0.25">
      <c r="C2704"/>
      <c r="D2704"/>
    </row>
    <row r="2705" spans="3:4" x14ac:dyDescent="0.25">
      <c r="C2705"/>
      <c r="D2705"/>
    </row>
    <row r="2706" spans="3:4" x14ac:dyDescent="0.25">
      <c r="C2706"/>
      <c r="D2706"/>
    </row>
    <row r="2707" spans="3:4" x14ac:dyDescent="0.25">
      <c r="C2707"/>
      <c r="D2707"/>
    </row>
    <row r="2708" spans="3:4" x14ac:dyDescent="0.25">
      <c r="C2708"/>
      <c r="D2708"/>
    </row>
    <row r="2709" spans="3:4" x14ac:dyDescent="0.25">
      <c r="C2709"/>
      <c r="D2709"/>
    </row>
    <row r="2710" spans="3:4" x14ac:dyDescent="0.25">
      <c r="C2710"/>
      <c r="D2710"/>
    </row>
    <row r="2711" spans="3:4" x14ac:dyDescent="0.25">
      <c r="C2711"/>
      <c r="D2711"/>
    </row>
    <row r="2712" spans="3:4" x14ac:dyDescent="0.25">
      <c r="C2712"/>
      <c r="D2712"/>
    </row>
    <row r="2713" spans="3:4" x14ac:dyDescent="0.25">
      <c r="C2713"/>
      <c r="D2713"/>
    </row>
    <row r="2714" spans="3:4" x14ac:dyDescent="0.25">
      <c r="C2714"/>
      <c r="D2714"/>
    </row>
    <row r="2715" spans="3:4" x14ac:dyDescent="0.25">
      <c r="C2715"/>
      <c r="D2715"/>
    </row>
    <row r="2716" spans="3:4" x14ac:dyDescent="0.25">
      <c r="C2716"/>
      <c r="D2716"/>
    </row>
    <row r="2717" spans="3:4" x14ac:dyDescent="0.25">
      <c r="C2717"/>
      <c r="D2717"/>
    </row>
    <row r="2718" spans="3:4" x14ac:dyDescent="0.25">
      <c r="C2718"/>
      <c r="D2718"/>
    </row>
    <row r="2719" spans="3:4" x14ac:dyDescent="0.25">
      <c r="C2719"/>
      <c r="D2719"/>
    </row>
    <row r="2720" spans="3:4" x14ac:dyDescent="0.25">
      <c r="C2720"/>
      <c r="D2720"/>
    </row>
    <row r="2721" spans="3:4" x14ac:dyDescent="0.25">
      <c r="C2721"/>
      <c r="D2721"/>
    </row>
    <row r="2722" spans="3:4" x14ac:dyDescent="0.25">
      <c r="C2722"/>
      <c r="D2722"/>
    </row>
    <row r="2723" spans="3:4" x14ac:dyDescent="0.25">
      <c r="C2723"/>
      <c r="D2723"/>
    </row>
    <row r="2724" spans="3:4" x14ac:dyDescent="0.25">
      <c r="C2724"/>
      <c r="D2724"/>
    </row>
    <row r="2725" spans="3:4" x14ac:dyDescent="0.25">
      <c r="C2725"/>
      <c r="D2725"/>
    </row>
    <row r="2726" spans="3:4" x14ac:dyDescent="0.25">
      <c r="C2726"/>
      <c r="D2726"/>
    </row>
    <row r="2727" spans="3:4" x14ac:dyDescent="0.25">
      <c r="C2727"/>
      <c r="D2727"/>
    </row>
    <row r="2728" spans="3:4" x14ac:dyDescent="0.25">
      <c r="C2728"/>
      <c r="D2728"/>
    </row>
    <row r="2729" spans="3:4" x14ac:dyDescent="0.25">
      <c r="C2729"/>
      <c r="D2729"/>
    </row>
    <row r="2730" spans="3:4" x14ac:dyDescent="0.25">
      <c r="C2730"/>
      <c r="D2730"/>
    </row>
    <row r="2731" spans="3:4" x14ac:dyDescent="0.25">
      <c r="C2731"/>
      <c r="D2731"/>
    </row>
    <row r="2732" spans="3:4" x14ac:dyDescent="0.25">
      <c r="C2732"/>
      <c r="D2732"/>
    </row>
    <row r="2733" spans="3:4" x14ac:dyDescent="0.25">
      <c r="C2733"/>
      <c r="D2733"/>
    </row>
    <row r="2734" spans="3:4" x14ac:dyDescent="0.25">
      <c r="C2734"/>
      <c r="D2734"/>
    </row>
    <row r="2735" spans="3:4" x14ac:dyDescent="0.25">
      <c r="C2735"/>
      <c r="D2735"/>
    </row>
    <row r="2736" spans="3:4" x14ac:dyDescent="0.25">
      <c r="C2736"/>
      <c r="D2736"/>
    </row>
    <row r="2737" spans="3:4" x14ac:dyDescent="0.25">
      <c r="C2737"/>
      <c r="D2737"/>
    </row>
    <row r="2738" spans="3:4" x14ac:dyDescent="0.25">
      <c r="C2738"/>
      <c r="D2738"/>
    </row>
    <row r="2739" spans="3:4" x14ac:dyDescent="0.25">
      <c r="C2739"/>
      <c r="D2739"/>
    </row>
    <row r="2740" spans="3:4" x14ac:dyDescent="0.25">
      <c r="C2740"/>
      <c r="D2740"/>
    </row>
    <row r="2741" spans="3:4" x14ac:dyDescent="0.25">
      <c r="C2741"/>
      <c r="D2741"/>
    </row>
    <row r="2742" spans="3:4" x14ac:dyDescent="0.25">
      <c r="C2742"/>
      <c r="D2742"/>
    </row>
    <row r="2743" spans="3:4" x14ac:dyDescent="0.25">
      <c r="C2743"/>
      <c r="D2743"/>
    </row>
    <row r="2744" spans="3:4" x14ac:dyDescent="0.25">
      <c r="C2744"/>
      <c r="D2744"/>
    </row>
    <row r="2745" spans="3:4" x14ac:dyDescent="0.25">
      <c r="C2745"/>
      <c r="D2745"/>
    </row>
    <row r="2746" spans="3:4" x14ac:dyDescent="0.25">
      <c r="C2746"/>
      <c r="D2746"/>
    </row>
    <row r="2747" spans="3:4" x14ac:dyDescent="0.25">
      <c r="C2747"/>
      <c r="D2747"/>
    </row>
    <row r="2748" spans="3:4" x14ac:dyDescent="0.25">
      <c r="C2748"/>
      <c r="D2748"/>
    </row>
    <row r="2749" spans="3:4" x14ac:dyDescent="0.25">
      <c r="C2749"/>
      <c r="D2749"/>
    </row>
    <row r="2750" spans="3:4" x14ac:dyDescent="0.25">
      <c r="C2750"/>
      <c r="D2750"/>
    </row>
    <row r="2751" spans="3:4" x14ac:dyDescent="0.25">
      <c r="C2751"/>
      <c r="D2751"/>
    </row>
    <row r="2752" spans="3:4" x14ac:dyDescent="0.25">
      <c r="C2752"/>
      <c r="D2752"/>
    </row>
    <row r="2753" spans="3:4" x14ac:dyDescent="0.25">
      <c r="C2753"/>
      <c r="D2753"/>
    </row>
    <row r="2754" spans="3:4" x14ac:dyDescent="0.25">
      <c r="C2754"/>
      <c r="D2754"/>
    </row>
    <row r="2755" spans="3:4" x14ac:dyDescent="0.25">
      <c r="C2755"/>
      <c r="D2755"/>
    </row>
    <row r="2756" spans="3:4" x14ac:dyDescent="0.25">
      <c r="C2756"/>
      <c r="D2756"/>
    </row>
    <row r="2757" spans="3:4" x14ac:dyDescent="0.25">
      <c r="C2757"/>
      <c r="D2757"/>
    </row>
    <row r="2758" spans="3:4" x14ac:dyDescent="0.25">
      <c r="C2758"/>
      <c r="D2758"/>
    </row>
    <row r="2759" spans="3:4" x14ac:dyDescent="0.25">
      <c r="C2759"/>
      <c r="D2759"/>
    </row>
    <row r="2760" spans="3:4" x14ac:dyDescent="0.25">
      <c r="C2760"/>
      <c r="D2760"/>
    </row>
    <row r="2761" spans="3:4" x14ac:dyDescent="0.25">
      <c r="C2761"/>
      <c r="D2761"/>
    </row>
    <row r="2762" spans="3:4" x14ac:dyDescent="0.25">
      <c r="C2762"/>
      <c r="D2762"/>
    </row>
    <row r="2763" spans="3:4" x14ac:dyDescent="0.25">
      <c r="C2763"/>
      <c r="D2763"/>
    </row>
    <row r="2764" spans="3:4" x14ac:dyDescent="0.25">
      <c r="C2764"/>
      <c r="D2764"/>
    </row>
    <row r="2765" spans="3:4" x14ac:dyDescent="0.25">
      <c r="C2765"/>
      <c r="D2765"/>
    </row>
    <row r="2766" spans="3:4" x14ac:dyDescent="0.25">
      <c r="C2766"/>
      <c r="D2766"/>
    </row>
    <row r="2767" spans="3:4" x14ac:dyDescent="0.25">
      <c r="C2767"/>
      <c r="D2767"/>
    </row>
    <row r="2768" spans="3:4" x14ac:dyDescent="0.25">
      <c r="C2768"/>
      <c r="D2768"/>
    </row>
    <row r="2769" spans="3:4" x14ac:dyDescent="0.25">
      <c r="C2769"/>
      <c r="D2769"/>
    </row>
    <row r="2770" spans="3:4" x14ac:dyDescent="0.25">
      <c r="C2770"/>
      <c r="D2770"/>
    </row>
    <row r="2771" spans="3:4" x14ac:dyDescent="0.25">
      <c r="C2771"/>
      <c r="D2771"/>
    </row>
    <row r="2772" spans="3:4" x14ac:dyDescent="0.25">
      <c r="C2772"/>
      <c r="D2772"/>
    </row>
    <row r="2773" spans="3:4" x14ac:dyDescent="0.25">
      <c r="C2773"/>
      <c r="D2773"/>
    </row>
    <row r="2774" spans="3:4" x14ac:dyDescent="0.25">
      <c r="C2774"/>
      <c r="D2774"/>
    </row>
    <row r="2775" spans="3:4" x14ac:dyDescent="0.25">
      <c r="C2775"/>
      <c r="D2775"/>
    </row>
    <row r="2776" spans="3:4" x14ac:dyDescent="0.25">
      <c r="C2776"/>
      <c r="D2776"/>
    </row>
    <row r="2777" spans="3:4" x14ac:dyDescent="0.25">
      <c r="C2777"/>
      <c r="D2777"/>
    </row>
    <row r="2778" spans="3:4" x14ac:dyDescent="0.25">
      <c r="C2778"/>
      <c r="D2778"/>
    </row>
    <row r="2779" spans="3:4" x14ac:dyDescent="0.25">
      <c r="C2779"/>
      <c r="D2779"/>
    </row>
    <row r="2780" spans="3:4" x14ac:dyDescent="0.25">
      <c r="C2780"/>
      <c r="D2780"/>
    </row>
    <row r="2781" spans="3:4" x14ac:dyDescent="0.25">
      <c r="C2781"/>
      <c r="D2781"/>
    </row>
    <row r="2782" spans="3:4" x14ac:dyDescent="0.25">
      <c r="C2782"/>
      <c r="D2782"/>
    </row>
    <row r="2783" spans="3:4" x14ac:dyDescent="0.25">
      <c r="C2783"/>
      <c r="D2783"/>
    </row>
    <row r="2784" spans="3:4" x14ac:dyDescent="0.25">
      <c r="C2784"/>
      <c r="D2784"/>
    </row>
    <row r="2785" spans="3:4" x14ac:dyDescent="0.25">
      <c r="C2785"/>
      <c r="D2785"/>
    </row>
    <row r="2786" spans="3:4" x14ac:dyDescent="0.25">
      <c r="C2786"/>
      <c r="D2786"/>
    </row>
    <row r="2787" spans="3:4" x14ac:dyDescent="0.25">
      <c r="C2787"/>
      <c r="D2787"/>
    </row>
    <row r="2788" spans="3:4" x14ac:dyDescent="0.25">
      <c r="C2788"/>
      <c r="D2788"/>
    </row>
    <row r="2789" spans="3:4" x14ac:dyDescent="0.25">
      <c r="C2789"/>
      <c r="D2789"/>
    </row>
    <row r="2790" spans="3:4" x14ac:dyDescent="0.25">
      <c r="C2790"/>
      <c r="D2790"/>
    </row>
    <row r="2791" spans="3:4" x14ac:dyDescent="0.25">
      <c r="C2791"/>
      <c r="D2791"/>
    </row>
    <row r="2792" spans="3:4" x14ac:dyDescent="0.25">
      <c r="C2792"/>
      <c r="D2792"/>
    </row>
    <row r="2793" spans="3:4" x14ac:dyDescent="0.25">
      <c r="C2793"/>
      <c r="D2793"/>
    </row>
    <row r="2794" spans="3:4" x14ac:dyDescent="0.25">
      <c r="C2794"/>
      <c r="D2794"/>
    </row>
    <row r="2795" spans="3:4" x14ac:dyDescent="0.25">
      <c r="C2795"/>
      <c r="D2795"/>
    </row>
    <row r="2796" spans="3:4" x14ac:dyDescent="0.25">
      <c r="C2796"/>
      <c r="D2796"/>
    </row>
    <row r="2797" spans="3:4" x14ac:dyDescent="0.25">
      <c r="C2797"/>
      <c r="D2797"/>
    </row>
    <row r="2798" spans="3:4" x14ac:dyDescent="0.25">
      <c r="C2798"/>
      <c r="D2798"/>
    </row>
    <row r="2799" spans="3:4" x14ac:dyDescent="0.25">
      <c r="C2799"/>
      <c r="D2799"/>
    </row>
    <row r="2800" spans="3:4" x14ac:dyDescent="0.25">
      <c r="C2800"/>
      <c r="D2800"/>
    </row>
    <row r="2801" spans="3:4" x14ac:dyDescent="0.25">
      <c r="C2801"/>
      <c r="D2801"/>
    </row>
    <row r="2802" spans="3:4" x14ac:dyDescent="0.25">
      <c r="C2802"/>
      <c r="D2802"/>
    </row>
    <row r="2803" spans="3:4" x14ac:dyDescent="0.25">
      <c r="C2803"/>
      <c r="D2803"/>
    </row>
    <row r="2804" spans="3:4" x14ac:dyDescent="0.25">
      <c r="C2804"/>
      <c r="D2804"/>
    </row>
    <row r="2805" spans="3:4" x14ac:dyDescent="0.25">
      <c r="C2805"/>
      <c r="D2805"/>
    </row>
    <row r="2806" spans="3:4" x14ac:dyDescent="0.25">
      <c r="C2806"/>
      <c r="D2806"/>
    </row>
    <row r="2807" spans="3:4" x14ac:dyDescent="0.25">
      <c r="C2807"/>
      <c r="D2807"/>
    </row>
    <row r="2808" spans="3:4" x14ac:dyDescent="0.25">
      <c r="C2808"/>
      <c r="D2808"/>
    </row>
    <row r="2809" spans="3:4" x14ac:dyDescent="0.25">
      <c r="C2809"/>
      <c r="D2809"/>
    </row>
    <row r="2810" spans="3:4" x14ac:dyDescent="0.25">
      <c r="C2810"/>
      <c r="D2810"/>
    </row>
    <row r="2811" spans="3:4" x14ac:dyDescent="0.25">
      <c r="C2811"/>
      <c r="D2811"/>
    </row>
    <row r="2812" spans="3:4" x14ac:dyDescent="0.25">
      <c r="C2812"/>
      <c r="D2812"/>
    </row>
    <row r="2813" spans="3:4" x14ac:dyDescent="0.25">
      <c r="C2813"/>
      <c r="D2813"/>
    </row>
    <row r="2814" spans="3:4" x14ac:dyDescent="0.25">
      <c r="C2814"/>
      <c r="D2814"/>
    </row>
    <row r="2815" spans="3:4" x14ac:dyDescent="0.25">
      <c r="C2815"/>
      <c r="D2815"/>
    </row>
    <row r="2816" spans="3:4" x14ac:dyDescent="0.25">
      <c r="C2816"/>
      <c r="D2816"/>
    </row>
    <row r="2817" spans="3:4" x14ac:dyDescent="0.25">
      <c r="C2817"/>
      <c r="D2817"/>
    </row>
    <row r="2818" spans="3:4" x14ac:dyDescent="0.25">
      <c r="C2818"/>
      <c r="D2818"/>
    </row>
    <row r="2819" spans="3:4" x14ac:dyDescent="0.25">
      <c r="C2819"/>
      <c r="D2819"/>
    </row>
    <row r="2820" spans="3:4" x14ac:dyDescent="0.25">
      <c r="C2820"/>
      <c r="D2820"/>
    </row>
    <row r="2821" spans="3:4" x14ac:dyDescent="0.25">
      <c r="C2821"/>
      <c r="D2821"/>
    </row>
    <row r="2822" spans="3:4" x14ac:dyDescent="0.25">
      <c r="C2822"/>
      <c r="D2822"/>
    </row>
    <row r="2823" spans="3:4" x14ac:dyDescent="0.25">
      <c r="C2823"/>
      <c r="D2823"/>
    </row>
    <row r="2824" spans="3:4" x14ac:dyDescent="0.25">
      <c r="C2824"/>
      <c r="D2824"/>
    </row>
    <row r="2825" spans="3:4" x14ac:dyDescent="0.25">
      <c r="C2825"/>
      <c r="D2825"/>
    </row>
    <row r="2826" spans="3:4" x14ac:dyDescent="0.25">
      <c r="C2826"/>
      <c r="D2826"/>
    </row>
    <row r="2827" spans="3:4" x14ac:dyDescent="0.25">
      <c r="C2827"/>
      <c r="D2827"/>
    </row>
    <row r="2828" spans="3:4" x14ac:dyDescent="0.25">
      <c r="C2828"/>
      <c r="D2828"/>
    </row>
    <row r="2829" spans="3:4" x14ac:dyDescent="0.25">
      <c r="C2829"/>
      <c r="D2829"/>
    </row>
    <row r="2830" spans="3:4" x14ac:dyDescent="0.25">
      <c r="C2830"/>
      <c r="D2830"/>
    </row>
    <row r="2831" spans="3:4" x14ac:dyDescent="0.25">
      <c r="C2831"/>
      <c r="D2831"/>
    </row>
    <row r="2832" spans="3:4" x14ac:dyDescent="0.25">
      <c r="C2832"/>
      <c r="D2832"/>
    </row>
    <row r="2833" spans="3:4" x14ac:dyDescent="0.25">
      <c r="C2833"/>
      <c r="D2833"/>
    </row>
    <row r="2834" spans="3:4" x14ac:dyDescent="0.25">
      <c r="C2834"/>
      <c r="D2834"/>
    </row>
    <row r="2835" spans="3:4" x14ac:dyDescent="0.25">
      <c r="C2835"/>
      <c r="D2835"/>
    </row>
    <row r="2836" spans="3:4" x14ac:dyDescent="0.25">
      <c r="C2836"/>
      <c r="D2836"/>
    </row>
    <row r="2837" spans="3:4" x14ac:dyDescent="0.25">
      <c r="C2837"/>
      <c r="D2837"/>
    </row>
    <row r="2838" spans="3:4" x14ac:dyDescent="0.25">
      <c r="C2838"/>
      <c r="D2838"/>
    </row>
    <row r="2839" spans="3:4" x14ac:dyDescent="0.25">
      <c r="C2839"/>
      <c r="D2839"/>
    </row>
    <row r="2840" spans="3:4" x14ac:dyDescent="0.25">
      <c r="C2840"/>
      <c r="D2840"/>
    </row>
    <row r="2841" spans="3:4" x14ac:dyDescent="0.25">
      <c r="C2841"/>
      <c r="D2841"/>
    </row>
    <row r="2842" spans="3:4" x14ac:dyDescent="0.25">
      <c r="C2842"/>
      <c r="D2842"/>
    </row>
    <row r="2843" spans="3:4" x14ac:dyDescent="0.25">
      <c r="C2843"/>
      <c r="D2843"/>
    </row>
    <row r="2844" spans="3:4" x14ac:dyDescent="0.25">
      <c r="C2844"/>
      <c r="D2844"/>
    </row>
    <row r="2845" spans="3:4" x14ac:dyDescent="0.25">
      <c r="C2845"/>
      <c r="D284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9264d5f-42be-4c4f-90c7-cf493da58e4a">
      <Terms xmlns="http://schemas.microsoft.com/office/infopath/2007/PartnerControls"/>
    </lcf76f155ced4ddcb4097134ff3c332f>
    <TaxCatchAll xmlns="abbdcb3d-099a-4938-9716-09002f94320e"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2F73E9A022BD1E4EB6EE5011EBA46673" ma:contentTypeVersion="19" ma:contentTypeDescription="Create a new document." ma:contentTypeScope="" ma:versionID="c1c34405da16d4bc28a60b5fe11108bd">
  <xsd:schema xmlns:xsd="http://www.w3.org/2001/XMLSchema" xmlns:xs="http://www.w3.org/2001/XMLSchema" xmlns:p="http://schemas.microsoft.com/office/2006/metadata/properties" xmlns:ns2="c9264d5f-42be-4c4f-90c7-cf493da58e4a" xmlns:ns3="96e2dd11-a50e-4cdb-be0b-71af644a2eab" xmlns:ns4="abbdcb3d-099a-4938-9716-09002f94320e" targetNamespace="http://schemas.microsoft.com/office/2006/metadata/properties" ma:root="true" ma:fieldsID="5c51a16eb7a1870d79d1bfa80b9e3542" ns2:_="" ns3:_="" ns4:_="">
    <xsd:import namespace="c9264d5f-42be-4c4f-90c7-cf493da58e4a"/>
    <xsd:import namespace="96e2dd11-a50e-4cdb-be0b-71af644a2eab"/>
    <xsd:import namespace="abbdcb3d-099a-4938-9716-09002f94320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AutoKeyPoints" minOccurs="0"/>
                <xsd:element ref="ns2:MediaServiceKeyPoints" minOccurs="0"/>
                <xsd:element ref="ns2:MediaLengthInSeconds" minOccurs="0"/>
                <xsd:element ref="ns2:MediaServiceLocation" minOccurs="0"/>
                <xsd:element ref="ns2:lcf76f155ced4ddcb4097134ff3c332f" minOccurs="0"/>
                <xsd:element ref="ns4: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9264d5f-42be-4c4f-90c7-cf493da58e4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9e513a2-ec27-4ba2-828b-964637c79d8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6e2dd11-a50e-4cdb-be0b-71af644a2eab"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bbdcb3d-099a-4938-9716-09002f94320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ec757186-32a7-441f-b16c-b5ff6d9bf696" ma:internalName="TaxCatchAll" ma:showField="CatchAllData" ma:web="96e2dd11-a50e-4cdb-be0b-71af644a2ea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49866DA-4C58-4C8A-A3E3-8B3111E22869}">
  <ds:schemaRefs>
    <ds:schemaRef ds:uri="http://schemas.microsoft.com/office/2006/metadata/properties"/>
    <ds:schemaRef ds:uri="http://schemas.microsoft.com/office/infopath/2007/PartnerControls"/>
    <ds:schemaRef ds:uri="c9264d5f-42be-4c4f-90c7-cf493da58e4a"/>
    <ds:schemaRef ds:uri="abbdcb3d-099a-4938-9716-09002f94320e"/>
  </ds:schemaRefs>
</ds:datastoreItem>
</file>

<file path=customXml/itemProps2.xml><?xml version="1.0" encoding="utf-8"?>
<ds:datastoreItem xmlns:ds="http://schemas.openxmlformats.org/officeDocument/2006/customXml" ds:itemID="{AE8FA27D-63C3-443E-BDFD-37A4DAB5AE22}">
  <ds:schemaRefs>
    <ds:schemaRef ds:uri="http://schemas.microsoft.com/DataMashup"/>
  </ds:schemaRefs>
</ds:datastoreItem>
</file>

<file path=customXml/itemProps3.xml><?xml version="1.0" encoding="utf-8"?>
<ds:datastoreItem xmlns:ds="http://schemas.openxmlformats.org/officeDocument/2006/customXml" ds:itemID="{E102B47E-5B4F-4A1D-AC0E-EFB106A647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9264d5f-42be-4c4f-90c7-cf493da58e4a"/>
    <ds:schemaRef ds:uri="96e2dd11-a50e-4cdb-be0b-71af644a2eab"/>
    <ds:schemaRef ds:uri="abbdcb3d-099a-4938-9716-09002f9432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61374E7-BF3D-4588-9993-56E3D1712D7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Gatherer_temp</vt:lpstr>
      <vt:lpstr>filenames</vt:lpstr>
      <vt:lpstr>Align_backup</vt:lpstr>
      <vt:lpstr>_NIIT_Sample</vt:lpstr>
      <vt:lpstr>Variables (2)</vt:lpstr>
      <vt:lpstr>Instructions</vt:lpstr>
      <vt:lpstr>Key Terms</vt:lpstr>
      <vt:lpstr>epic</vt:lpstr>
      <vt:lpstr>Course</vt:lpstr>
      <vt:lpstr>Project Info Tab</vt:lpstr>
      <vt:lpstr>Project Plan</vt:lpstr>
      <vt:lpstr>Template-Project Info Tab</vt:lpstr>
      <vt:lpstr>Template-Project Plan</vt:lpstr>
      <vt:lpstr>DATA</vt:lpstr>
      <vt:lpstr>Variables</vt:lpstr>
      <vt:lpstr>Helper</vt:lpstr>
      <vt:lpstr>Helper_new_Backup</vt:lpstr>
      <vt:lpstr>Align_backup!Communication</vt:lpstr>
      <vt:lpstr>'Project Info Tab'!Communication</vt:lpstr>
      <vt:lpstr>'Template-Project Info Tab'!Communication</vt:lpstr>
      <vt:lpstr>Align_backup!Course_Code</vt:lpstr>
      <vt:lpstr>'Project Info Tab'!Course_Code</vt:lpstr>
      <vt:lpstr>'Template-Project Info Tab'!Course_Code</vt:lpstr>
      <vt:lpstr>Align_backup!Course_Description</vt:lpstr>
      <vt:lpstr>'Project Info Tab'!Course_Description</vt:lpstr>
      <vt:lpstr>'Template-Project Info Tab'!Course_Description</vt:lpstr>
      <vt:lpstr>Align_backup!Course_Title</vt:lpstr>
      <vt:lpstr>'Project Info Tab'!Course_Title</vt:lpstr>
      <vt:lpstr>'Template-Project Info Tab'!Course_Title</vt:lpstr>
      <vt:lpstr>Align_backup!New_Content_Creation_Correct</vt:lpstr>
      <vt:lpstr>'Project Info Tab'!New_Content_Creation_Correct</vt:lpstr>
      <vt:lpstr>'Template-Project Info Tab'!New_Content_Creation_Correct</vt:lpstr>
      <vt:lpstr>Align_backup!New_or_Update</vt:lpstr>
      <vt:lpstr>'Project Info Tab'!New_or_Update</vt:lpstr>
      <vt:lpstr>'Template-Project Info Tab'!New_or_Update</vt:lpstr>
      <vt:lpstr>Align_backup!Path</vt:lpstr>
      <vt:lpstr>'Project Info Tab'!Path</vt:lpstr>
      <vt:lpstr>'Template-Project Info Tab'!Path</vt:lpstr>
      <vt:lpstr>Align_backup!Scope</vt:lpstr>
      <vt:lpstr>'Project Info Tab'!Scope</vt:lpstr>
      <vt:lpstr>'Template-Project Info Tab'!Scope</vt:lpstr>
      <vt:lpstr>Align_backup!Start</vt:lpstr>
      <vt:lpstr>'Project Info Tab'!Start</vt:lpstr>
      <vt:lpstr>'Template-Project Info Tab'!Start</vt:lpstr>
      <vt:lpstr>Align_backup!target</vt:lpstr>
      <vt:lpstr>'Project Info Tab'!target</vt:lpstr>
      <vt:lpstr>'Template-Project Info Tab'!target</vt:lpstr>
      <vt:lpstr>Align_backup!Type</vt:lpstr>
      <vt:lpstr>'Project Info Tab'!Type</vt:lpstr>
      <vt:lpstr>'Template-Project Info Tab'!Type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Joseph Langford</dc:creator>
  <cp:keywords/>
  <dc:description/>
  <cp:lastModifiedBy>Sean Lowry</cp:lastModifiedBy>
  <cp:revision/>
  <dcterms:created xsi:type="dcterms:W3CDTF">2015-06-05T18:17:20Z</dcterms:created>
  <dcterms:modified xsi:type="dcterms:W3CDTF">2025-07-17T17:45:46Z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0x0101002F73E9A022BD1E4EB6EE5011EBA46673</vt:lpwstr>
  </property>
  <property fmtid="{D5CDD505-2E9C-101B-9397-08002B2CF9AE}" pid="3" name="MediaServiceImageTags">
    <vt:lpwstr/>
  </property>
  <property fmtid="{D5CDD505-2E9C-101B-9397-08002B2CF9AE}" pid="4" name="MSIP_Label_e14c1950-b3a8-4278-88f1-6df69d73b9d5_Enabled">
    <vt:lpwstr>true</vt:lpwstr>
  </property>
  <property fmtid="{D5CDD505-2E9C-101B-9397-08002B2CF9AE}" pid="5" name="MSIP_Label_e14c1950-b3a8-4278-88f1-6df69d73b9d5_SetDate">
    <vt:lpwstr>2023-07-17T13:18:46Z</vt:lpwstr>
  </property>
  <property fmtid="{D5CDD505-2E9C-101B-9397-08002B2CF9AE}" pid="6" name="MSIP_Label_e14c1950-b3a8-4278-88f1-6df69d73b9d5_Method">
    <vt:lpwstr>Standard</vt:lpwstr>
  </property>
  <property fmtid="{D5CDD505-2E9C-101B-9397-08002B2CF9AE}" pid="7" name="MSIP_Label_e14c1950-b3a8-4278-88f1-6df69d73b9d5_Name">
    <vt:lpwstr>e14c1950-b3a8-4278-88f1-6df69d73b9d5</vt:lpwstr>
  </property>
  <property fmtid="{D5CDD505-2E9C-101B-9397-08002B2CF9AE}" pid="8" name="MSIP_Label_e14c1950-b3a8-4278-88f1-6df69d73b9d5_SiteId">
    <vt:lpwstr>855b093e-7340-45c7-9f0c-96150415893e</vt:lpwstr>
  </property>
  <property fmtid="{D5CDD505-2E9C-101B-9397-08002B2CF9AE}" pid="9" name="MSIP_Label_e14c1950-b3a8-4278-88f1-6df69d73b9d5_ActionId">
    <vt:lpwstr>a3c71c01-a6ee-4a61-b47e-98f959578c00</vt:lpwstr>
  </property>
  <property fmtid="{D5CDD505-2E9C-101B-9397-08002B2CF9AE}" pid="10" name="MSIP_Label_e14c1950-b3a8-4278-88f1-6df69d73b9d5_ContentBits">
    <vt:lpwstr>0</vt:lpwstr>
  </property>
</Properties>
</file>